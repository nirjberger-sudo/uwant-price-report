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fe9249a76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השוואת דגמים" sheetId="1" r:id="R13133db82aa24bd0"/>
    <x:sheet xmlns:r="http://schemas.openxmlformats.org/officeDocument/2006/relationships" name="קטלוג מלא" sheetId="2" r:id="R9b3d623e4a3c4210"/>
    <x:sheet xmlns:r="http://schemas.openxmlformats.org/officeDocument/2006/relationships" name="סטטיסטיקות" sheetId="3" r:id="Ra75fa6a263514c4a"/>
    <x:sheet xmlns:r="http://schemas.openxmlformats.org/officeDocument/2006/relationships" name="מוצרים נוספים" sheetId="4" r:id="R0b3077a1fb9b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₪#,##0"/>
    <x:numFmt numFmtId="201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1F6E8C"/>
      </x:patternFill>
    </x:fill>
  </x:fills>
  <x:borders count="10"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1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777777"/>
      </x:font>
      <x:fill>
        <x:patternFill patternType="solid">
          <x:bgColor rgb="FFE7E7E7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8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25bec45624704" /><Relationship Type="http://schemas.openxmlformats.org/officeDocument/2006/relationships/theme" Target="/xl/theme/theme1.xml" Id="R675db40a63834b52" /><Relationship Type="http://schemas.openxmlformats.org/officeDocument/2006/relationships/sharedStrings" Target="/xl/sharedStrings.xml" Id="Re1c48e444d2143c0" /><Relationship Type="http://schemas.openxmlformats.org/officeDocument/2006/relationships/worksheet" Target="/xl/worksheets/sheet1.xml" Id="R13133db82aa24bd0" /><Relationship Type="http://schemas.openxmlformats.org/officeDocument/2006/relationships/worksheet" Target="/xl/worksheets/sheet2.xml" Id="R9b3d623e4a3c4210" /><Relationship Type="http://schemas.openxmlformats.org/officeDocument/2006/relationships/worksheet" Target="/xl/worksheets/sheet3.xml" Id="Ra75fa6a263514c4a" /><Relationship Type="http://schemas.openxmlformats.org/officeDocument/2006/relationships/worksheet" Target="/xl/worksheets/sheet4.xml" Id="R0b3077a1fb9b46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5" t="str">
        <x:v>דוח ניטור מחירי UWANT — 09.08.2026 09:01 (Asia/Jerusalem)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0" t="str">
        <x:v>דגם</x:v>
      </x:c>
      <x:c r="B2" s="10" t="e">
        <x:f>HYPERLINK("https://ksp.co.il/web/search/UWANT","KSP")</x:f>
        <x:v>HYPERLINK is not implemented. linkLocation=https://ksp.co.il/web/search/UWANT, friendlyName=KSP</x:v>
      </x:c>
      <x:c r="C2" s="10" t="e">
        <x:f>HYPERLINK("https://www.wallashops.co.il/search?q=UWANT","Walla Shops")</x:f>
        <x:v>HYPERLINK is not implemented. linkLocation=https://www.wallashops.co.il/search?q=UWANT, friendlyName=Walla Shops</x:v>
      </x:c>
      <x:c r="D2" s="10" t="e">
        <x:f>HYPERLINK("https://www.netoneto.co.il/uwant?brand=886%2C2701","NetoNeto")</x:f>
        <x:v>HYPERLINK is not implemented. linkLocation=https://www.netoneto.co.il/uwant?brand=886%2C2701, friendlyName=NetoNeto</x:v>
      </x:c>
      <x:c r="E2" s="10" t="e">
        <x:f>HYPERLINK("https://www.cwc.co.il/?s=UWANT&amp;post_type=product","CWC")</x:f>
        <x:v>HYPERLINK is not implemented. linkLocation=https://www.cwc.co.il/?s=UWANT&amp;post_type=product, friendlyName=CWC</x:v>
      </x:c>
      <x:c r="F2" s="10" t="e">
        <x:f>HYPERLINK("https://www.lastprice.co.il/category.asp?q=Uwant","LastPrice")</x:f>
        <x:v>HYPERLINK is not implemented. linkLocation=https://www.lastprice.co.il/category.asp?q=Uwant, friendlyName=LastPrice</x:v>
      </x:c>
      <x:c r="G2" s="10" t="e">
        <x:f>HYPERLINK("https://www.alm.co.il/brands/uwant.html","ALM")</x:f>
        <x:v>HYPERLINK is not implemented. linkLocation=https://www.alm.co.il/brands/uwant.html, friendlyName=ALM</x:v>
      </x:c>
      <x:c r="H2" s="10" t="e">
        <x:f>HYPERLINK("https://www.traklin.co.il/?search=UWANT","Traklin")</x:f>
        <x:v>HYPERLINK is not implemented. linkLocation=https://www.traklin.co.il/?search=UWANT, friendlyName=Traklin</x:v>
      </x:c>
      <x:c r="I2" s="10" t="e">
        <x:f>HYPERLINK("https://www.citydeal.co.il/search?q=UWANT","City Deal")</x:f>
        <x:v>HYPERLINK is not implemented. linkLocation=https://www.citydeal.co.il/search?q=UWANT, friendlyName=City Deal</x:v>
      </x:c>
      <x:c r="J2" s="10" t="e">
        <x:f>HYPERLINK("https://multistore.co.il/brands/uwant/","Multi Store")</x:f>
        <x:v>HYPERLINK is not implemented. linkLocation=https://multistore.co.il/brands/uwant/, friendlyName=Multi Store</x:v>
      </x:c>
      <x:c r="K2" s="10" t="e">
        <x:f>HYPERLINK("https://www.uwant.co.il/collections/all","UWANT IL")</x:f>
        <x:v>HYPERLINK is not implemented. linkLocation=https://www.uwant.co.il/collections/all, friendlyName=UWANT IL</x:v>
      </x:c>
      <x:c r="L2" s="10" t="str">
        <x:v>הכי זול</x:v>
      </x:c>
      <x:c r="M2" s="10" t="str">
        <x:v>הכי יקר</x:v>
      </x:c>
      <x:c r="N2" s="10" t="str">
        <x:v>סטטוס UWANT</x:v>
      </x:c>
    </x:row>
    <x:row r="3">
      <x:c r="A3" s="29" t="str">
        <x:v>UWANT U300 V25</x:v>
      </x:c>
      <x:c r="B3" s="38" t="n">
        <x:v>1958</x:v>
      </x:c>
      <x:c r="C3" s="38" t="str">
        <x:v>-</x:v>
      </x:c>
      <x:c r="D3" s="38" t="n">
        <x:v>1943</x:v>
      </x:c>
      <x:c r="E3" s="38" t="n">
        <x:v>2690</x:v>
      </x:c>
      <x:c r="F3" s="38" t="n">
        <x:v>1958</x:v>
      </x:c>
      <x:c r="G3" s="38" t="str">
        <x:v>-</x:v>
      </x:c>
      <x:c r="H3" s="38" t="str">
        <x:v>-</x:v>
      </x:c>
      <x:c r="I3" s="38" t="n">
        <x:v>1949</x:v>
      </x:c>
      <x:c r="J3" s="38" t="n">
        <x:v>2190</x:v>
      </x:c>
      <x:c r="K3" s="38" t="n">
        <x:v>2690</x:v>
      </x:c>
      <x:c r="L3" s="38" t="n">
        <x:v>1943</x:v>
      </x:c>
      <x:c r="M3" s="38" t="n">
        <x:v>2690</x:v>
      </x:c>
      <x:c r="N3" s="31" t="str">
        <x:v>⚠️ לא הכי זול</x:v>
      </x:c>
    </x:row>
    <x:row r="4">
      <x:c r="A4" s="32" t="str">
        <x:v>UWANT T300</x:v>
      </x:c>
      <x:c r="B4" s="39" t="n">
        <x:v>3204</x:v>
      </x:c>
      <x:c r="C4" s="39" t="str">
        <x:v>-</x:v>
      </x:c>
      <x:c r="D4" s="39" t="n">
        <x:v>3201</x:v>
      </x:c>
      <x:c r="E4" s="39" t="n">
        <x:v>3204</x:v>
      </x:c>
      <x:c r="F4" s="39" t="n">
        <x:v>3590</x:v>
      </x:c>
      <x:c r="G4" s="39" t="n">
        <x:v>3206</x:v>
      </x:c>
      <x:c r="H4" s="39" t="str">
        <x:v>-</x:v>
      </x:c>
      <x:c r="I4" s="39" t="n">
        <x:v>3199</x:v>
      </x:c>
      <x:c r="J4" s="39" t="n">
        <x:v>3190</x:v>
      </x:c>
      <x:c r="K4" s="39" t="n">
        <x:v>3590</x:v>
      </x:c>
      <x:c r="L4" s="39" t="n">
        <x:v>3190</x:v>
      </x:c>
      <x:c r="M4" s="39" t="n">
        <x:v>3590</x:v>
      </x:c>
      <x:c r="N4" s="34" t="str">
        <x:v>⚠️ לא הכי זול</x:v>
      </x:c>
    </x:row>
    <x:row r="5">
      <x:c r="A5" s="32" t="str">
        <x:v>UWANT U400</x:v>
      </x:c>
      <x:c r="B5" s="39" t="n">
        <x:v>4324</x:v>
      </x:c>
      <x:c r="C5" s="39" t="n">
        <x:v>4395</x:v>
      </x:c>
      <x:c r="D5" s="39" t="n">
        <x:v>4317</x:v>
      </x:c>
      <x:c r="E5" s="39" t="n">
        <x:v>4324</x:v>
      </x:c>
      <x:c r="F5" s="39" t="n">
        <x:v>4321</x:v>
      </x:c>
      <x:c r="G5" s="39" t="n">
        <x:v>4325</x:v>
      </x:c>
      <x:c r="H5" s="39" t="str">
        <x:v>-</x:v>
      </x:c>
      <x:c r="I5" s="39" t="n">
        <x:v>4318</x:v>
      </x:c>
      <x:c r="J5" s="39" t="str">
        <x:v>-</x:v>
      </x:c>
      <x:c r="K5" s="39" t="n">
        <x:v>4390</x:v>
      </x:c>
      <x:c r="L5" s="39" t="n">
        <x:v>4317</x:v>
      </x:c>
      <x:c r="M5" s="39" t="n">
        <x:v>4395</x:v>
      </x:c>
      <x:c r="N5" s="34" t="str">
        <x:v>⚠️ לא הכי זול</x:v>
      </x:c>
    </x:row>
    <x:row r="6">
      <x:c r="A6" s="32" t="str">
        <x:v>UWANT D500</x:v>
      </x:c>
      <x:c r="B6" s="39" t="n">
        <x:v>890</x:v>
      </x:c>
      <x:c r="C6" s="39" t="n">
        <x:v>899</x:v>
      </x:c>
      <x:c r="D6" s="39" t="n">
        <x:v>879</x:v>
      </x:c>
      <x:c r="E6" s="39" t="n">
        <x:v>899</x:v>
      </x:c>
      <x:c r="F6" s="39" t="n">
        <x:v>890</x:v>
      </x:c>
      <x:c r="G6" s="39" t="str">
        <x:v>-</x:v>
      </x:c>
      <x:c r="H6" s="39" t="str">
        <x:v>-</x:v>
      </x:c>
      <x:c r="I6" s="39" t="n">
        <x:v>798</x:v>
      </x:c>
      <x:c r="J6" s="39" t="str">
        <x:v>-</x:v>
      </x:c>
      <x:c r="K6" s="39" t="n">
        <x:v>899</x:v>
      </x:c>
      <x:c r="L6" s="39" t="n">
        <x:v>798</x:v>
      </x:c>
      <x:c r="M6" s="39" t="n">
        <x:v>899</x:v>
      </x:c>
      <x:c r="N6" s="34" t="str">
        <x:v>⚠️ לא הכי זול</x:v>
      </x:c>
    </x:row>
    <x:row r="7">
      <x:c r="A7" s="32" t="str">
        <x:v>UWANT D600</x:v>
      </x:c>
      <x:c r="B7" s="39" t="n">
        <x:v>1449</x:v>
      </x:c>
      <x:c r="C7" s="39" t="n">
        <x:v>1449</x:v>
      </x:c>
      <x:c r="D7" s="39" t="n">
        <x:v>1347</x:v>
      </x:c>
      <x:c r="E7" s="39" t="n">
        <x:v>1449</x:v>
      </x:c>
      <x:c r="F7" s="39" t="n">
        <x:v>1449</x:v>
      </x:c>
      <x:c r="G7" s="39" t="n">
        <x:v>1451</x:v>
      </x:c>
      <x:c r="H7" s="39" t="str">
        <x:v>-</x:v>
      </x:c>
      <x:c r="I7" s="39" t="n">
        <x:v>1345</x:v>
      </x:c>
      <x:c r="J7" s="39" t="n">
        <x:v>1890</x:v>
      </x:c>
      <x:c r="K7" s="39" t="n">
        <x:v>1490</x:v>
      </x:c>
      <x:c r="L7" s="39" t="n">
        <x:v>1345</x:v>
      </x:c>
      <x:c r="M7" s="39" t="n">
        <x:v>1890</x:v>
      </x:c>
      <x:c r="N7" s="34" t="str">
        <x:v>⚠️ לא הכי זול</x:v>
      </x:c>
    </x:row>
    <x:row r="8">
      <x:c r="A8" s="32" t="str">
        <x:v>UWANT D700</x:v>
      </x:c>
      <x:c r="B8" s="39" t="n">
        <x:v>1886</x:v>
      </x:c>
      <x:c r="C8" s="39" t="n">
        <x:v>1701</x:v>
      </x:c>
      <x:c r="D8" s="39" t="n">
        <x:v>1883</x:v>
      </x:c>
      <x:c r="E8" s="39" t="n">
        <x:v>1886</x:v>
      </x:c>
      <x:c r="F8" s="39" t="n">
        <x:v>1888</x:v>
      </x:c>
      <x:c r="G8" s="39" t="n">
        <x:v>1890</x:v>
      </x:c>
      <x:c r="H8" s="39" t="str">
        <x:v>-</x:v>
      </x:c>
      <x:c r="I8" s="39" t="n">
        <x:v>1881</x:v>
      </x:c>
      <x:c r="J8" s="39" t="n">
        <x:v>1990</x:v>
      </x:c>
      <x:c r="K8" s="39" t="n">
        <x:v>1990</x:v>
      </x:c>
      <x:c r="L8" s="39" t="n">
        <x:v>1701</x:v>
      </x:c>
      <x:c r="M8" s="39" t="n">
        <x:v>1990</x:v>
      </x:c>
      <x:c r="N8" s="34" t="str">
        <x:v>⚠️ לא הכי זול</x:v>
      </x:c>
    </x:row>
    <x:row r="9">
      <x:c r="A9" s="32" t="str">
        <x:v>UWANT DX800</x:v>
      </x:c>
      <x:c r="B9" s="39" t="str">
        <x:v>-</x:v>
      </x:c>
      <x:c r="C9" s="39" t="str">
        <x:v>-</x:v>
      </x:c>
      <x:c r="D9" s="39" t="n">
        <x:v>2689</x:v>
      </x:c>
      <x:c r="E9" s="39" t="n">
        <x:v>2750</x:v>
      </x:c>
      <x:c r="F9" s="39" t="n">
        <x:v>2750</x:v>
      </x:c>
      <x:c r="G9" s="39" t="n">
        <x:v>2750</x:v>
      </x:c>
      <x:c r="H9" s="39" t="str">
        <x:v>-</x:v>
      </x:c>
      <x:c r="I9" s="39" t="n">
        <x:v>2689</x:v>
      </x:c>
      <x:c r="J9" s="39" t="n">
        <x:v>2649</x:v>
      </x:c>
      <x:c r="K9" s="39" t="n">
        <x:v>2750</x:v>
      </x:c>
      <x:c r="L9" s="39" t="n">
        <x:v>2649</x:v>
      </x:c>
      <x:c r="M9" s="39" t="n">
        <x:v>2750</x:v>
      </x:c>
      <x:c r="N9" s="34" t="str">
        <x:v>⚠️ לא הכי זול</x:v>
      </x:c>
    </x:row>
    <x:row r="10">
      <x:c r="A10" s="32" t="str">
        <x:v>UWANT V500</x:v>
      </x:c>
      <x:c r="B10" s="39" t="n">
        <x:v>828</x:v>
      </x:c>
      <x:c r="C10" s="39" t="n">
        <x:v>838</x:v>
      </x:c>
      <x:c r="D10" s="39" t="n">
        <x:v>796</x:v>
      </x:c>
      <x:c r="E10" s="39" t="n">
        <x:v>828</x:v>
      </x:c>
      <x:c r="F10" s="39" t="n">
        <x:v>838</x:v>
      </x:c>
      <x:c r="G10" s="39" t="str">
        <x:v>-</x:v>
      </x:c>
      <x:c r="H10" s="39" t="str">
        <x:v>-</x:v>
      </x:c>
      <x:c r="I10" s="39" t="n">
        <x:v>794</x:v>
      </x:c>
      <x:c r="J10" s="39" t="str">
        <x:v>-</x:v>
      </x:c>
      <x:c r="K10" s="39" t="n">
        <x:v>899</x:v>
      </x:c>
      <x:c r="L10" s="39" t="n">
        <x:v>794</x:v>
      </x:c>
      <x:c r="M10" s="39" t="n">
        <x:v>899</x:v>
      </x:c>
      <x:c r="N10" s="34" t="str">
        <x:v>⚠️ לא הכי זול</x:v>
      </x:c>
    </x:row>
    <x:row r="11">
      <x:c r="A11" s="32" t="str">
        <x:v>UWANT V600</x:v>
      </x:c>
      <x:c r="B11" s="39" t="n">
        <x:v>1359</x:v>
      </x:c>
      <x:c r="C11" s="39" t="n">
        <x:v>1490</x:v>
      </x:c>
      <x:c r="D11" s="39" t="n">
        <x:v>1354</x:v>
      </x:c>
      <x:c r="E11" s="39" t="n">
        <x:v>1475</x:v>
      </x:c>
      <x:c r="F11" s="39" t="n">
        <x:v>1476</x:v>
      </x:c>
      <x:c r="G11" s="39" t="str">
        <x:v>-</x:v>
      </x:c>
      <x:c r="H11" s="39" t="str">
        <x:v>-</x:v>
      </x:c>
      <x:c r="I11" s="39" t="n">
        <x:v>1352</x:v>
      </x:c>
      <x:c r="J11" s="39" t="str">
        <x:v>-</x:v>
      </x:c>
      <x:c r="K11" s="39" t="n">
        <x:v>1490</x:v>
      </x:c>
      <x:c r="L11" s="39" t="n">
        <x:v>1352</x:v>
      </x:c>
      <x:c r="M11" s="39" t="n">
        <x:v>1490</x:v>
      </x:c>
      <x:c r="N11" s="34" t="str">
        <x:v>⚠️ לא הכי זול</x:v>
      </x:c>
    </x:row>
    <x:row r="12">
      <x:c r="A12" s="32" t="str">
        <x:v>UWANT V800</x:v>
      </x:c>
      <x:c r="B12" s="39" t="n">
        <x:v>2590</x:v>
      </x:c>
      <x:c r="C12" s="39" t="n">
        <x:v>2590</x:v>
      </x:c>
      <x:c r="D12" s="39" t="n">
        <x:v>2324</x:v>
      </x:c>
      <x:c r="E12" s="39" t="n">
        <x:v>2592</x:v>
      </x:c>
      <x:c r="F12" s="39" t="n">
        <x:v>2590</x:v>
      </x:c>
      <x:c r="G12" s="39" t="str">
        <x:v>-</x:v>
      </x:c>
      <x:c r="H12" s="39" t="str">
        <x:v>-</x:v>
      </x:c>
      <x:c r="I12" s="39" t="n">
        <x:v>2325</x:v>
      </x:c>
      <x:c r="J12" s="39" t="n">
        <x:v>2295</x:v>
      </x:c>
      <x:c r="K12" s="39" t="n">
        <x:v>2590</x:v>
      </x:c>
      <x:c r="L12" s="39" t="n">
        <x:v>2295</x:v>
      </x:c>
      <x:c r="M12" s="39" t="n">
        <x:v>2592</x:v>
      </x:c>
      <x:c r="N12" s="34" t="str">
        <x:v>⚠️ לא הכי זול</x:v>
      </x:c>
    </x:row>
    <x:row r="13">
      <x:c r="A13" s="32" t="str">
        <x:v>UWANT M400</x:v>
      </x:c>
      <x:c r="B13" s="39" t="n">
        <x:v>367</x:v>
      </x:c>
      <x:c r="C13" s="39" t="n">
        <x:v>455</x:v>
      </x:c>
      <x:c r="D13" s="39" t="n">
        <x:v>363</x:v>
      </x:c>
      <x:c r="E13" s="39" t="n">
        <x:v>400</x:v>
      </x:c>
      <x:c r="F13" s="39" t="n">
        <x:v>379</x:v>
      </x:c>
      <x:c r="G13" s="39" t="n">
        <x:v>400</x:v>
      </x:c>
      <x:c r="H13" s="39" t="str">
        <x:v>-</x:v>
      </x:c>
      <x:c r="I13" s="39" t="n">
        <x:v>364</x:v>
      </x:c>
      <x:c r="J13" s="39" t="str">
        <x:v>-</x:v>
      </x:c>
      <x:c r="K13" s="39" t="n">
        <x:v>455</x:v>
      </x:c>
      <x:c r="L13" s="39" t="n">
        <x:v>363</x:v>
      </x:c>
      <x:c r="M13" s="39" t="n">
        <x:v>455</x:v>
      </x:c>
      <x:c r="N13" s="34" t="str">
        <x:v>⚠️ לא הכי זול</x:v>
      </x:c>
    </x:row>
    <x:row r="14">
      <x:c r="A14" s="32" t="str">
        <x:v>UWANT M500</x:v>
      </x:c>
      <x:c r="B14" s="39" t="str">
        <x:v>-</x:v>
      </x:c>
      <x:c r="C14" s="39" t="str">
        <x:v>-</x:v>
      </x:c>
      <x:c r="D14" s="39" t="str">
        <x:v>-</x:v>
      </x:c>
      <x:c r="E14" s="39" t="str">
        <x:v>-</x:v>
      </x:c>
      <x:c r="F14" s="39" t="n">
        <x:v>599</x:v>
      </x:c>
      <x:c r="G14" s="39" t="str">
        <x:v>-</x:v>
      </x:c>
      <x:c r="H14" s="39" t="str">
        <x:v>-</x:v>
      </x:c>
      <x:c r="I14" s="39" t="str">
        <x:v>-</x:v>
      </x:c>
      <x:c r="J14" s="39" t="str">
        <x:v>-</x:v>
      </x:c>
      <x:c r="K14" s="39" t="n">
        <x:v>599</x:v>
      </x:c>
      <x:c r="L14" s="39" t="n">
        <x:v>599</x:v>
      </x:c>
      <x:c r="M14" s="39" t="n">
        <x:v>599</x:v>
      </x:c>
      <x:c r="N14" s="34" t="str">
        <x:v>✓ הכי זול</x:v>
      </x:c>
    </x:row>
    <x:row r="15">
      <x:c r="A15" s="32" t="str">
        <x:v>UWANT M600</x:v>
      </x:c>
      <x:c r="B15" s="39" t="n">
        <x:v>699</x:v>
      </x:c>
      <x:c r="C15" s="39" t="n">
        <x:v>699</x:v>
      </x:c>
      <x:c r="D15" s="39" t="n">
        <x:v>674</x:v>
      </x:c>
      <x:c r="E15" s="39" t="str">
        <x:v>-</x:v>
      </x:c>
      <x:c r="F15" s="39" t="n">
        <x:v>699</x:v>
      </x:c>
      <x:c r="G15" s="39" t="n">
        <x:v>690</x:v>
      </x:c>
      <x:c r="H15" s="39" t="str">
        <x:v>-</x:v>
      </x:c>
      <x:c r="I15" s="39" t="n">
        <x:v>675</x:v>
      </x:c>
      <x:c r="J15" s="39" t="n">
        <x:v>649</x:v>
      </x:c>
      <x:c r="K15" s="39" t="n">
        <x:v>699</x:v>
      </x:c>
      <x:c r="L15" s="39" t="n">
        <x:v>649</x:v>
      </x:c>
      <x:c r="M15" s="39" t="n">
        <x:v>699</x:v>
      </x:c>
      <x:c r="N15" s="34" t="str">
        <x:v>⚠️ לא הכי זול</x:v>
      </x:c>
    </x:row>
    <x:row r="16">
      <x:c r="A16" s="32" t="str">
        <x:v>UWANT Y100</x:v>
      </x:c>
      <x:c r="B16" s="39" t="n">
        <x:v>490</x:v>
      </x:c>
      <x:c r="C16" s="39" t="str">
        <x:v>-</x:v>
      </x:c>
      <x:c r="D16" s="39" t="str">
        <x:v>-</x:v>
      </x:c>
      <x:c r="E16" s="39" t="n">
        <x:v>490</x:v>
      </x:c>
      <x:c r="F16" s="39" t="n">
        <x:v>590</x:v>
      </x:c>
      <x:c r="G16" s="39" t="str">
        <x:v>-</x:v>
      </x:c>
      <x:c r="H16" s="39" t="n">
        <x:v>590</x:v>
      </x:c>
      <x:c r="I16" s="39" t="n">
        <x:v>589</x:v>
      </x:c>
      <x:c r="J16" s="39" t="n">
        <x:v>489</x:v>
      </x:c>
      <x:c r="K16" s="39" t="n">
        <x:v>599</x:v>
      </x:c>
      <x:c r="L16" s="39" t="n">
        <x:v>489</x:v>
      </x:c>
      <x:c r="M16" s="39" t="n">
        <x:v>599</x:v>
      </x:c>
      <x:c r="N16" s="34" t="str">
        <x:v>⚠️ לא הכי זול</x:v>
      </x:c>
    </x:row>
    <x:row r="17">
      <x:c r="A17" s="32" t="str">
        <x:v>UWANT Y200</x:v>
      </x:c>
      <x:c r="B17" s="39" t="n">
        <x:v>459</x:v>
      </x:c>
      <x:c r="C17" s="39" t="str">
        <x:v>-</x:v>
      </x:c>
      <x:c r="D17" s="39" t="str">
        <x:v>-</x:v>
      </x:c>
      <x:c r="E17" s="39" t="n">
        <x:v>459</x:v>
      </x:c>
      <x:c r="F17" s="39" t="n">
        <x:v>459</x:v>
      </x:c>
      <x:c r="G17" s="39" t="str">
        <x:v>-</x:v>
      </x:c>
      <x:c r="H17" s="39" t="n">
        <x:v>459</x:v>
      </x:c>
      <x:c r="I17" s="39" t="n">
        <x:v>459</x:v>
      </x:c>
      <x:c r="J17" s="39" t="str">
        <x:v>-</x:v>
      </x:c>
      <x:c r="K17" s="39" t="n">
        <x:v>699</x:v>
      </x:c>
      <x:c r="L17" s="39" t="n">
        <x:v>459</x:v>
      </x:c>
      <x:c r="M17" s="39" t="n">
        <x:v>699</x:v>
      </x:c>
      <x:c r="N17" s="34" t="str">
        <x:v>⚠️ לא הכי זול</x:v>
      </x:c>
    </x:row>
    <x:row r="18">
      <x:c r="A18" s="32" t="str">
        <x:v>UWANT Y100 Steam</x:v>
      </x:c>
      <x:c r="B18" s="39" t="str">
        <x:v>-</x:v>
      </x:c>
      <x:c r="C18" s="39" t="str">
        <x:v>-</x:v>
      </x:c>
      <x:c r="D18" s="39" t="n">
        <x:v>918</x:v>
      </x:c>
      <x:c r="E18" s="39" t="n">
        <x:v>990</x:v>
      </x:c>
      <x:c r="F18" s="39" t="n">
        <x:v>919</x:v>
      </x:c>
      <x:c r="G18" s="39" t="str">
        <x:v>-</x:v>
      </x:c>
      <x:c r="H18" s="39" t="n">
        <x:v>919</x:v>
      </x:c>
      <x:c r="I18" s="39" t="n">
        <x:v>905</x:v>
      </x:c>
      <x:c r="J18" s="39" t="n">
        <x:v>799</x:v>
      </x:c>
      <x:c r="K18" s="39" t="n">
        <x:v>999</x:v>
      </x:c>
      <x:c r="L18" s="39" t="n">
        <x:v>799</x:v>
      </x:c>
      <x:c r="M18" s="39" t="n">
        <x:v>999</x:v>
      </x:c>
      <x:c r="N18" s="34" t="str">
        <x:v>⚠️ לא הכי זול</x:v>
      </x:c>
    </x:row>
    <x:row r="19">
      <x:c r="A19" s="35" t="str">
        <x:v>UWANT Y200 Steam</x:v>
      </x:c>
      <x:c r="B19" s="40" t="str">
        <x:v>-</x:v>
      </x:c>
      <x:c r="C19" s="40" t="n">
        <x:v>990</x:v>
      </x:c>
      <x:c r="D19" s="40" t="str">
        <x:v>-</x:v>
      </x:c>
      <x:c r="E19" s="40" t="n">
        <x:v>999</x:v>
      </x:c>
      <x:c r="F19" s="40" t="str">
        <x:v>-</x:v>
      </x:c>
      <x:c r="G19" s="40" t="str">
        <x:v>-</x:v>
      </x:c>
      <x:c r="H19" s="40" t="n">
        <x:v>1290</x:v>
      </x:c>
      <x:c r="I19" s="40" t="n">
        <x:v>1290</x:v>
      </x:c>
      <x:c r="J19" s="40" t="str">
        <x:v>-</x:v>
      </x:c>
      <x:c r="K19" s="40" t="n">
        <x:v>999</x:v>
      </x:c>
      <x:c r="L19" s="40" t="n">
        <x:v>990</x:v>
      </x:c>
      <x:c r="M19" s="40" t="n">
        <x:v>1290</x:v>
      </x:c>
      <x:c r="N19" s="37" t="str">
        <x:v>⚠️ לא הכי זול</x:v>
      </x:c>
    </x:row>
  </x:sheetData>
  <x:mergeCells>
    <x:mergeCell ref="A1:N1"/>
  </x:mergeCells>
  <x:conditionalFormatting sqref="B3:K19">
    <x:cfRule type="containsText" dxfId="0" priority="1" operator="containsText" text="-"/>
    <x:cfRule type="expression" dxfId="1" priority="2">
      <x:formula>AND(ISNUMBER(B3),COUNT($B3:$K3)&gt;1,MIN($B3:$K3)&lt;MAX($B3:$K3),B3=MIN($B3:$K3))</x:formula>
    </x:cfRule>
    <x:cfRule type="expression" dxfId="2" priority="3">
      <x:formula>AND(ISNUMBER(B3),COUNT($B3:$K3)&gt;1,MIN($B3:$K3)&lt;MAX($B3:$K3),B3=MAX($B3:$K3))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" hidden="0" customWidth="1"/>
    <x:col min="3" max="3" width="17" hidden="0" customWidth="1"/>
    <x:col min="4" max="4" width="5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22" hidden="0" customWidth="1"/>
    <x:col min="12" max="12" width="45" hidden="0" customWidth="1"/>
    <x:col min="13" max="13" width="24" hidden="0" customWidth="1"/>
  </x:cols>
  <x:sheetData>
    <x:row r="1">
      <x:c r="A1" s="44" t="str">
        <x:v>אתר</x:v>
      </x:c>
      <x:c r="B1" s="44" t="str">
        <x:v>מס'</x:v>
      </x:c>
      <x:c r="C1" s="44" t="str">
        <x:v>דגם ממופה</x:v>
      </x:c>
      <x:c r="D1" s="44" t="str">
        <x:v>שם מוצר מדויק באתר</x:v>
      </x:c>
      <x:c r="E1" s="44" t="str">
        <x:v>מחיר נוכחי</x:v>
      </x:c>
      <x:c r="F1" s="44" t="str">
        <x:v>מחיר רגיל</x:v>
      </x:c>
      <x:c r="G1" s="44" t="str">
        <x:v>מחיר מועדון/Plus</x:v>
      </x:c>
      <x:c r="H1" s="44" t="str">
        <x:v>מלאי</x:v>
      </x:c>
      <x:c r="I1" s="44" t="str">
        <x:v>סוג</x:v>
      </x:c>
      <x:c r="J1" s="44" t="str">
        <x:v>קישור ישיר</x:v>
      </x:c>
      <x:c r="K1" s="44" t="str">
        <x:v>אימות</x:v>
      </x:c>
      <x:c r="L1" s="44" t="str">
        <x:v>הערה</x:v>
      </x:c>
      <x:c r="M1" s="44" t="str">
        <x:v>מועד בדיקה</x:v>
      </x:c>
    </x:row>
    <x:row r="2">
      <x:c r="A2" s="29" t="str">
        <x:v>KSP</x:v>
      </x:c>
      <x:c r="B2" s="30" t="n">
        <x:v>1</x:v>
      </x:c>
      <x:c r="C2" s="30" t="str">
        <x:v>D500</x:v>
      </x:c>
      <x:c r="D2" s="30" t="str">
        <x:v>שואב אבק ושוטף רצפות אלחוטי Uwant D500 ₪890</x:v>
      </x:c>
      <x:c r="E2" s="38" t="n">
        <x:v>890</x:v>
      </x:c>
      <x:c r="F2" s="38"/>
      <x:c r="G2" s="38"/>
      <x:c r="H2" s="30" t="str">
        <x:v>במלאי</x:v>
      </x:c>
      <x:c r="I2" s="30" t="str">
        <x:v>מכשיר</x:v>
      </x:c>
      <x:c r="J2" s="30" t="e">
        <x:f>HYPERLINK("https://ksp.co.il/web/item/405946","פתח דף מוצר")</x:f>
        <x:v>HYPERLINK is not implemented. linkLocation=https://ksp.co.il/web/item/405946, friendlyName=פתח דף מוצר</x:v>
      </x:c>
      <x:c r="K2" s="30" t="str">
        <x:v>דף מוצר חי 09.08.2026</x:v>
      </x:c>
      <x:c r="L2" s="30" t="str"/>
      <x:c r="M2" s="31" t="str">
        <x:v>09.08.2026 09:01 (Asia/Jerusalem)</x:v>
      </x:c>
    </x:row>
    <x:row r="3">
      <x:c r="A3" s="32" t="str">
        <x:v>KSP</x:v>
      </x:c>
      <x:c r="B3" s="33" t="n">
        <x:v>2</x:v>
      </x:c>
      <x:c r="C3" s="33" t="str">
        <x:v>D600</x:v>
      </x:c>
      <x:c r="D3" s="33" t="str">
        <x:v>שואב אבק ושוטף רצפות אלחוטי עם תחנת עגינה לטעינה, ניקוי, חיטוי וייבוש מלאים Uwant D600 ₪1449</x:v>
      </x:c>
      <x:c r="E3" s="39" t="n">
        <x:v>1449</x:v>
      </x:c>
      <x:c r="F3" s="39"/>
      <x:c r="G3" s="39"/>
      <x:c r="H3" s="33" t="str">
        <x:v>במלאי</x:v>
      </x:c>
      <x:c r="I3" s="33" t="str">
        <x:v>מכשיר</x:v>
      </x:c>
      <x:c r="J3" s="33" t="e">
        <x:f>HYPERLINK("https://ksp.co.il/web/item/405994","פתח דף מוצר")</x:f>
        <x:v>HYPERLINK is not implemented. linkLocation=https://ksp.co.il/web/item/405994, friendlyName=פתח דף מוצר</x:v>
      </x:c>
      <x:c r="K3" s="33" t="str">
        <x:v>דף מוצר חי 09.08.2026</x:v>
      </x:c>
      <x:c r="L3" s="33" t="str"/>
      <x:c r="M3" s="34" t="str">
        <x:v>09.08.2026 09:01 (Asia/Jerusalem)</x:v>
      </x:c>
    </x:row>
    <x:row r="4">
      <x:c r="A4" s="32" t="str">
        <x:v>KSP</x:v>
      </x:c>
      <x:c r="B4" s="33" t="n">
        <x:v>3</x:v>
      </x:c>
      <x:c r="C4" s="33" t="str">
        <x:v>D700</x:v>
      </x:c>
      <x:c r="D4" s="33" t="str">
        <x:v>שואב אבק ושוטף רצפות אלחוטי עם תחנת עגינה לטעינה, ניקוי, חיטוי וייבוש מלאים Uwant D700 Pro ₪1888</x:v>
      </x:c>
      <x:c r="E4" s="39" t="n">
        <x:v>1886</x:v>
      </x:c>
      <x:c r="F4" s="39"/>
      <x:c r="G4" s="39"/>
      <x:c r="H4" s="33" t="str">
        <x:v>במלאי</x:v>
      </x:c>
      <x:c r="I4" s="33" t="str">
        <x:v>מכשיר</x:v>
      </x:c>
      <x:c r="J4" s="33" t="e">
        <x:f>HYPERLINK("https://ksp.co.il/web/item/406059","פתח דף מוצר")</x:f>
        <x:v>HYPERLINK is not implemented. linkLocation=https://ksp.co.il/web/item/406059, friendlyName=פתח דף מוצר</x:v>
      </x:c>
      <x:c r="K4" s="33" t="str">
        <x:v>דף מוצר חי 09.08.2026</x:v>
      </x:c>
      <x:c r="L4" s="33" t="str"/>
      <x:c r="M4" s="34" t="str">
        <x:v>09.08.2026 09:01 (Asia/Jerusalem)</x:v>
      </x:c>
    </x:row>
    <x:row r="5">
      <x:c r="A5" s="32" t="str">
        <x:v>KSP</x:v>
      </x:c>
      <x:c r="B5" s="33" t="n">
        <x:v>4</x:v>
      </x:c>
      <x:c r="C5" s="33" t="str">
        <x:v>M400</x:v>
      </x:c>
      <x:c r="D5" s="33" t="str">
        <x:v>שואב מזרנים עוצמתי Uwant M400 StaticHair - צבע לבן ₪367</x:v>
      </x:c>
      <x:c r="E5" s="39" t="n">
        <x:v>367</x:v>
      </x:c>
      <x:c r="F5" s="39"/>
      <x:c r="G5" s="39"/>
      <x:c r="H5" s="33" t="str">
        <x:v>במלאי</x:v>
      </x:c>
      <x:c r="I5" s="33" t="str">
        <x:v>מכשיר</x:v>
      </x:c>
      <x:c r="J5" s="33" t="e">
        <x:f>HYPERLINK("https://ksp.co.il/web/item/405968","פתח דף מוצר")</x:f>
        <x:v>HYPERLINK is not implemented. linkLocation=https://ksp.co.il/web/item/405968, friendlyName=פתח דף מוצר</x:v>
      </x:c>
      <x:c r="K5" s="33" t="str">
        <x:v>דף מוצר חי 09.08.2026</x:v>
      </x:c>
      <x:c r="L5" s="33" t="str"/>
      <x:c r="M5" s="34" t="str">
        <x:v>09.08.2026 09:01 (Asia/Jerusalem)</x:v>
      </x:c>
    </x:row>
    <x:row r="6">
      <x:c r="A6" s="32" t="str">
        <x:v>KSP</x:v>
      </x:c>
      <x:c r="B6" s="33" t="n">
        <x:v>5</x:v>
      </x:c>
      <x:c r="C6" s="33" t="str">
        <x:v>M600</x:v>
      </x:c>
      <x:c r="D6" s="33" t="str">
        <x:v>שואב מזרנים עוצמתי לנטרול קרדית אבק Uwant M600 UltraSonic 15000Pa 500W - צבע לבן ₪699</x:v>
      </x:c>
      <x:c r="E6" s="39" t="n">
        <x:v>699</x:v>
      </x:c>
      <x:c r="F6" s="39"/>
      <x:c r="G6" s="39"/>
      <x:c r="H6" s="33" t="str">
        <x:v>במלאי</x:v>
      </x:c>
      <x:c r="I6" s="33" t="str">
        <x:v>מכשיר</x:v>
      </x:c>
      <x:c r="J6" s="33" t="e">
        <x:f>HYPERLINK("https://ksp.co.il/web/item/444001","פתח דף מוצר")</x:f>
        <x:v>HYPERLINK is not implemented. linkLocation=https://ksp.co.il/web/item/444001, friendlyName=פתח דף מוצר</x:v>
      </x:c>
      <x:c r="K6" s="33" t="str">
        <x:v>דף מוצר חי 09.08.2026</x:v>
      </x:c>
      <x:c r="L6" s="33" t="str"/>
      <x:c r="M6" s="34" t="str">
        <x:v>09.08.2026 09:01 (Asia/Jerusalem)</x:v>
      </x:c>
    </x:row>
    <x:row r="7">
      <x:c r="A7" s="32" t="str">
        <x:v>KSP</x:v>
      </x:c>
      <x:c r="B7" s="33" t="n">
        <x:v>6</x:v>
      </x:c>
      <x:c r="C7" s="33" t="str">
        <x:v>T300</x:v>
      </x:c>
      <x:c r="D7" s="33" t="str">
        <x:v>רובוט שואב / שוטף עם תחנת ריקון ומילוי אוטומטית Uwant T300 - צבע לבן ₪3204</x:v>
      </x:c>
      <x:c r="E7" s="39" t="n">
        <x:v>3204</x:v>
      </x:c>
      <x:c r="F7" s="39"/>
      <x:c r="G7" s="39"/>
      <x:c r="H7" s="33" t="str">
        <x:v>במלאי</x:v>
      </x:c>
      <x:c r="I7" s="33" t="str">
        <x:v>מכשיר</x:v>
      </x:c>
      <x:c r="J7" s="33" t="e">
        <x:f>HYPERLINK("https://ksp.co.il/web/item/455816","פתח דף מוצר")</x:f>
        <x:v>HYPERLINK is not implemented. linkLocation=https://ksp.co.il/web/item/455816, friendlyName=פתח דף מוצר</x:v>
      </x:c>
      <x:c r="K7" s="33" t="str">
        <x:v>דף מוצר חי 09.08.2026</x:v>
      </x:c>
      <x:c r="L7" s="33" t="str"/>
      <x:c r="M7" s="34" t="str">
        <x:v>09.08.2026 09:01 (Asia/Jerusalem)</x:v>
      </x:c>
    </x:row>
    <x:row r="8">
      <x:c r="A8" s="32" t="str">
        <x:v>KSP</x:v>
      </x:c>
      <x:c r="B8" s="33" t="n">
        <x:v>7</x:v>
      </x:c>
      <x:c r="C8" s="33" t="str">
        <x:v>U300 V25</x:v>
      </x:c>
      <x:c r="D8" s="33" t="str">
        <x:v>רובוט שואב / שוטף במים חמים וניקוי עצמי Uwant U300 V25 - צבע לבן ₪2190</x:v>
      </x:c>
      <x:c r="E8" s="39" t="n">
        <x:v>1958</x:v>
      </x:c>
      <x:c r="F8" s="39"/>
      <x:c r="G8" s="39"/>
      <x:c r="H8" s="33" t="str">
        <x:v>במלאי</x:v>
      </x:c>
      <x:c r="I8" s="33" t="str">
        <x:v>מכשיר</x:v>
      </x:c>
      <x:c r="J8" s="33" t="e">
        <x:f>HYPERLINK("https://ksp.co.il/web/item/411813","פתח דף מוצר")</x:f>
        <x:v>HYPERLINK is not implemented. linkLocation=https://ksp.co.il/web/item/411813, friendlyName=פתח דף מוצר</x:v>
      </x:c>
      <x:c r="K8" s="33" t="str">
        <x:v>דף מוצר חי 09.08.2026</x:v>
      </x:c>
      <x:c r="L8" s="33" t="str"/>
      <x:c r="M8" s="34" t="str">
        <x:v>09.08.2026 09:01 (Asia/Jerusalem)</x:v>
      </x:c>
    </x:row>
    <x:row r="9">
      <x:c r="A9" s="32" t="str">
        <x:v>KSP</x:v>
      </x:c>
      <x:c r="B9" s="33" t="n">
        <x:v>8</x:v>
      </x:c>
      <x:c r="C9" s="33" t="str">
        <x:v>U400</x:v>
      </x:c>
      <x:c r="D9" s="33" t="str">
        <x:v>רובוט שואב / שוטף עם תחנת ריקון ומילוי אוטומטית Uwant U400 - צבע לבן ₪4324</x:v>
      </x:c>
      <x:c r="E9" s="39" t="n">
        <x:v>4324</x:v>
      </x:c>
      <x:c r="F9" s="39"/>
      <x:c r="G9" s="39"/>
      <x:c r="H9" s="33" t="str">
        <x:v>במלאי</x:v>
      </x:c>
      <x:c r="I9" s="33" t="str">
        <x:v>מכשיר</x:v>
      </x:c>
      <x:c r="J9" s="33" t="e">
        <x:f>HYPERLINK("https://ksp.co.il/web/item/474691","פתח דף מוצר")</x:f>
        <x:v>HYPERLINK is not implemented. linkLocation=https://ksp.co.il/web/item/474691, friendlyName=פתח דף מוצר</x:v>
      </x:c>
      <x:c r="K9" s="33" t="str">
        <x:v>דף מוצר חי 09.08.2026</x:v>
      </x:c>
      <x:c r="L9" s="33" t="str">
        <x:v>מחיר מכירה רגיל; הצעת מכרז לא נכללה</x:v>
      </x:c>
      <x:c r="M9" s="34" t="str">
        <x:v>09.08.2026 09:01 (Asia/Jerusalem)</x:v>
      </x:c>
    </x:row>
    <x:row r="10">
      <x:c r="A10" s="32" t="str">
        <x:v>KSP</x:v>
      </x:c>
      <x:c r="B10" s="33" t="n">
        <x:v>9</x:v>
      </x:c>
      <x:c r="C10" s="33" t="str">
        <x:v>V100</x:v>
      </x:c>
      <x:c r="D10" s="33" t="str">
        <x:v>מק"ט KSP: 263213 מברשת להסרת קרדית אבק לשואב Uwant V100 ₪99 מחיר אילת : ₪83.9 מלאי בסניפים</x:v>
      </x:c>
      <x:c r="E10" s="39" t="n">
        <x:v>99</x:v>
      </x:c>
      <x:c r="F10" s="39"/>
      <x:c r="G10" s="39"/>
      <x:c r="H10" s="33" t="str">
        <x:v>במלאי</x:v>
      </x:c>
      <x:c r="I10" s="33" t="str">
        <x:v>אביזר</x:v>
      </x:c>
      <x:c r="J10" s="33" t="e">
        <x:f>HYPERLINK("https://ksp.co.il/web/item/270777","פתח דף מוצר")</x:f>
        <x:v>HYPERLINK is not implemented. linkLocation=https://ksp.co.il/web/item/270777, friendlyName=פתח דף מוצר</x:v>
      </x:c>
      <x:c r="K10" s="33" t="str">
        <x:v>דף מוצר חי 09.08.2026</x:v>
      </x:c>
      <x:c r="L10" s="33" t="str"/>
      <x:c r="M10" s="34" t="str">
        <x:v>09.08.2026 09:01 (Asia/Jerusalem)</x:v>
      </x:c>
    </x:row>
    <x:row r="11">
      <x:c r="A11" s="32" t="str">
        <x:v>KSP</x:v>
      </x:c>
      <x:c r="B11" s="33" t="n">
        <x:v>10</x:v>
      </x:c>
      <x:c r="C11" s="33" t="str">
        <x:v>V500</x:v>
      </x:c>
      <x:c r="D11" s="33" t="str">
        <x:v>שואב אבק אלחוטי עם עמדת ניקוי עצמי Uwant V500 - צבע לבן ₪828</x:v>
      </x:c>
      <x:c r="E11" s="39" t="n">
        <x:v>828</x:v>
      </x:c>
      <x:c r="F11" s="39"/>
      <x:c r="G11" s="39"/>
      <x:c r="H11" s="33" t="str">
        <x:v>במלאי</x:v>
      </x:c>
      <x:c r="I11" s="33" t="str">
        <x:v>מכשיר</x:v>
      </x:c>
      <x:c r="J11" s="33" t="e">
        <x:f>HYPERLINK("https://ksp.co.il/web/item/406038","פתח דף מוצר")</x:f>
        <x:v>HYPERLINK is not implemented. linkLocation=https://ksp.co.il/web/item/406038, friendlyName=פתח דף מוצר</x:v>
      </x:c>
      <x:c r="K11" s="33" t="str">
        <x:v>דף מוצר חי 09.08.2026</x:v>
      </x:c>
      <x:c r="L11" s="33" t="str"/>
      <x:c r="M11" s="34" t="str">
        <x:v>09.08.2026 09:01 (Asia/Jerusalem)</x:v>
      </x:c>
    </x:row>
    <x:row r="12">
      <x:c r="A12" s="32" t="str">
        <x:v>KSP</x:v>
      </x:c>
      <x:c r="B12" s="33" t="n">
        <x:v>11</x:v>
      </x:c>
      <x:c r="C12" s="33" t="str">
        <x:v>V500</x:v>
      </x:c>
      <x:c r="D12" s="33" t="str">
        <x:v>שואב אבק אלחוטי עם עמדת ניקוי עצמי Uwant V500 - צבע אפור ₪829</x:v>
      </x:c>
      <x:c r="E12" s="39" t="n">
        <x:v>828</x:v>
      </x:c>
      <x:c r="F12" s="39"/>
      <x:c r="G12" s="39"/>
      <x:c r="H12" s="33" t="str">
        <x:v>במלאי</x:v>
      </x:c>
      <x:c r="I12" s="33" t="str">
        <x:v>מכשיר</x:v>
      </x:c>
      <x:c r="J12" s="33" t="e">
        <x:f>HYPERLINK("https://ksp.co.il/web/item/408128","פתח דף מוצר")</x:f>
        <x:v>HYPERLINK is not implemented. linkLocation=https://ksp.co.il/web/item/408128, friendlyName=פתח דף מוצר</x:v>
      </x:c>
      <x:c r="K12" s="33" t="str">
        <x:v>דף מוצר חי 09.08.2026</x:v>
      </x:c>
      <x:c r="L12" s="33" t="str"/>
      <x:c r="M12" s="34" t="str">
        <x:v>09.08.2026 09:01 (Asia/Jerusalem)</x:v>
      </x:c>
    </x:row>
    <x:row r="13">
      <x:c r="A13" s="32" t="str">
        <x:v>KSP</x:v>
      </x:c>
      <x:c r="B13" s="33" t="n">
        <x:v>12</x:v>
      </x:c>
      <x:c r="C13" s="33" t="str">
        <x:v>V600</x:v>
      </x:c>
      <x:c r="D13" s="33" t="str">
        <x:v>שואב אבק אלחוטי עם עמדת ניקוי עצמי Uwant V600 - צבע אפור ₪1359</x:v>
      </x:c>
      <x:c r="E13" s="39" t="n">
        <x:v>1359</x:v>
      </x:c>
      <x:c r="F13" s="39"/>
      <x:c r="G13" s="39"/>
      <x:c r="H13" s="33" t="str">
        <x:v>במלאי</x:v>
      </x:c>
      <x:c r="I13" s="33" t="str">
        <x:v>מכשיר</x:v>
      </x:c>
      <x:c r="J13" s="33" t="e">
        <x:f>HYPERLINK("https://ksp.co.il/web/item/406023","פתח דף מוצר")</x:f>
        <x:v>HYPERLINK is not implemented. linkLocation=https://ksp.co.il/web/item/406023, friendlyName=פתח דף מוצר</x:v>
      </x:c>
      <x:c r="K13" s="33" t="str">
        <x:v>דף מוצר חי 09.08.2026</x:v>
      </x:c>
      <x:c r="L13" s="33" t="str"/>
      <x:c r="M13" s="34" t="str">
        <x:v>09.08.2026 09:01 (Asia/Jerusalem)</x:v>
      </x:c>
    </x:row>
    <x:row r="14">
      <x:c r="A14" s="32" t="str">
        <x:v>KSP</x:v>
      </x:c>
      <x:c r="B14" s="33" t="n">
        <x:v>13</x:v>
      </x:c>
      <x:c r="C14" s="33" t="str">
        <x:v>V800</x:v>
      </x:c>
      <x:c r="D14" s="33" t="str">
        <x:v>שואב אבק אלחוטי עם עמדת ריקון וניקוי עצמי V800 מבית UWANT - צבע אפור ₪2,590</x:v>
      </x:c>
      <x:c r="E14" s="39" t="n">
        <x:v>2590</x:v>
      </x:c>
      <x:c r="F14" s="39"/>
      <x:c r="G14" s="39"/>
      <x:c r="H14" s="33" t="str">
        <x:v>במלאי</x:v>
      </x:c>
      <x:c r="I14" s="33" t="str">
        <x:v>מכשיר</x:v>
      </x:c>
      <x:c r="J14" s="33" t="e">
        <x:f>HYPERLINK("https://ksp.co.il/web/item/474628","פתח דף מוצר")</x:f>
        <x:v>HYPERLINK is not implemented. linkLocation=https://ksp.co.il/web/item/474628, friendlyName=פתח דף מוצר</x:v>
      </x:c>
      <x:c r="K14" s="33" t="str">
        <x:v>דף מוצר חי 09.08.2026</x:v>
      </x:c>
      <x:c r="L14" s="33" t="str"/>
      <x:c r="M14" s="34" t="str">
        <x:v>09.08.2026 09:01 (Asia/Jerusalem)</x:v>
      </x:c>
    </x:row>
    <x:row r="15">
      <x:c r="A15" s="32" t="str">
        <x:v>KSP</x:v>
      </x:c>
      <x:c r="B15" s="33" t="n">
        <x:v>14</x:v>
      </x:c>
      <x:c r="C15" s="33" t="str">
        <x:v>Y100</x:v>
      </x:c>
      <x:c r="D15" s="33" t="str">
        <x:v>מנקה כתמים רב תכליתי Uwant Y100 18000Pa 600W - צבע לבן ₪490</x:v>
      </x:c>
      <x:c r="E15" s="39" t="n">
        <x:v>490</x:v>
      </x:c>
      <x:c r="F15" s="39"/>
      <x:c r="G15" s="39"/>
      <x:c r="H15" s="33" t="str">
        <x:v>במלאי</x:v>
      </x:c>
      <x:c r="I15" s="33" t="str">
        <x:v>מכשיר</x:v>
      </x:c>
      <x:c r="J15" s="33" t="e">
        <x:f>HYPERLINK("https://ksp.co.il/web/item/444926","פתח דף מוצר")</x:f>
        <x:v>HYPERLINK is not implemented. linkLocation=https://ksp.co.il/web/item/444926, friendlyName=פתח דף מוצר</x:v>
      </x:c>
      <x:c r="K15" s="33" t="str">
        <x:v>דף מוצר חי 09.08.2026</x:v>
      </x:c>
      <x:c r="L15" s="33" t="str"/>
      <x:c r="M15" s="34" t="str">
        <x:v>09.08.2026 09:01 (Asia/Jerusalem)</x:v>
      </x:c>
    </x:row>
    <x:row r="16">
      <x:c r="A16" s="32" t="str">
        <x:v>KSP</x:v>
      </x:c>
      <x:c r="B16" s="33" t="n">
        <x:v>15</x:v>
      </x:c>
      <x:c r="C16" s="33" t="str">
        <x:v>Y100 Steam</x:v>
      </x:c>
      <x:c r="D16" s="33" t="str">
        <x:v>מנקה כתמים רב תכליתי בקיטור Uwant Y100 Steam 18000Pa 1750W - צבע לבן ₪919</x:v>
      </x:c>
      <x:c r="E16" s="39"/>
      <x:c r="F16" s="39"/>
      <x:c r="G16" s="39"/>
      <x:c r="H16" s="33" t="str">
        <x:v>אזל</x:v>
      </x:c>
      <x:c r="I16" s="33" t="str">
        <x:v>מכשיר</x:v>
      </x:c>
      <x:c r="J16" s="33" t="e">
        <x:f>HYPERLINK("https://ksp.co.il/web/item/443961","פתח דף מוצר")</x:f>
        <x:v>HYPERLINK is not implemented. linkLocation=https://ksp.co.il/web/item/443961, friendlyName=פתח דף מוצר</x:v>
      </x:c>
      <x:c r="K16" s="33" t="str">
        <x:v>דף מוצר חי 09.08.2026</x:v>
      </x:c>
      <x:c r="L16" s="33" t="str"/>
      <x:c r="M16" s="34" t="str">
        <x:v>09.08.2026 09:01 (Asia/Jerusalem)</x:v>
      </x:c>
    </x:row>
    <x:row r="17">
      <x:c r="A17" s="32" t="str">
        <x:v>KSP</x:v>
      </x:c>
      <x:c r="B17" s="33" t="n">
        <x:v>16</x:v>
      </x:c>
      <x:c r="C17" s="33" t="str">
        <x:v>Y200</x:v>
      </x:c>
      <x:c r="D17" s="33" t="str">
        <x:v>מכשיר ניקוי כתמים רב תכליתי Uwant Y200 - צבע לבן ₪459</x:v>
      </x:c>
      <x:c r="E17" s="39" t="n">
        <x:v>459</x:v>
      </x:c>
      <x:c r="F17" s="39"/>
      <x:c r="G17" s="39"/>
      <x:c r="H17" s="33" t="str">
        <x:v>במלאי</x:v>
      </x:c>
      <x:c r="I17" s="33" t="str">
        <x:v>מכשיר</x:v>
      </x:c>
      <x:c r="J17" s="33" t="e">
        <x:f>HYPERLINK("https://ksp.co.il/web/item/421673","פתח דף מוצר")</x:f>
        <x:v>HYPERLINK is not implemented. linkLocation=https://ksp.co.il/web/item/421673, friendlyName=פתח דף מוצר</x:v>
      </x:c>
      <x:c r="K17" s="33" t="str">
        <x:v>דף מוצר חי 09.08.2026</x:v>
      </x:c>
      <x:c r="L17" s="33" t="str"/>
      <x:c r="M17" s="34" t="str">
        <x:v>09.08.2026 09:01 (Asia/Jerusalem)</x:v>
      </x:c>
    </x:row>
    <x:row r="18">
      <x:c r="A18" s="32" t="str">
        <x:v>Walla Shops</x:v>
      </x:c>
      <x:c r="B18" s="33" t="n">
        <x:v>1</x:v>
      </x:c>
      <x:c r="C18" s="33" t="str">
        <x:v>D500</x:v>
      </x:c>
      <x:c r="D18" s="33" t="str">
        <x:v>שואב שוטף אלחוטי UWANT 17,000PA יו וונט דגם D500 ₪899 UWANT D500</x:v>
      </x:c>
      <x:c r="E18" s="39" t="n">
        <x:v>899</x:v>
      </x:c>
      <x:c r="F18" s="39"/>
      <x:c r="G18" s="39"/>
      <x:c r="H18" s="33" t="str">
        <x:v>במלאי</x:v>
      </x:c>
      <x:c r="I18" s="33" t="str">
        <x:v>מכשיר</x:v>
      </x:c>
      <x:c r="J18" s="33" t="e">
        <x:f>HYPERLINK("https://www.wallashops.co.il/item/143701","פתח דף מוצר")</x:f>
        <x:v>HYPERLINK is not implemented. linkLocation=https://www.wallashops.co.il/item/143701, friendlyName=פתח דף מוצר</x:v>
      </x:c>
      <x:c r="K18" s="33" t="str">
        <x:v>דף מוצר חי 09.08.2026</x:v>
      </x:c>
      <x:c r="L18" s="33" t="str">
        <x:v>מחיר קנייה רגיל; הצעות לא נכללו</x:v>
      </x:c>
      <x:c r="M18" s="34" t="str">
        <x:v>09.08.2026 09:01 (Asia/Jerusalem)</x:v>
      </x:c>
    </x:row>
    <x:row r="19">
      <x:c r="A19" s="32" t="str">
        <x:v>Walla Shops</x:v>
      </x:c>
      <x:c r="B19" s="33" t="n">
        <x:v>2</x:v>
      </x:c>
      <x:c r="C19" s="33" t="str">
        <x:v>D600</x:v>
      </x:c>
      <x:c r="D19" s="33" t="str">
        <x:v>שואב שוטף אלחוטי UWANT 23,000PA יו וונט דגם D600 ₪1449 UWANT D600</x:v>
      </x:c>
      <x:c r="E19" s="39" t="n">
        <x:v>1449</x:v>
      </x:c>
      <x:c r="F19" s="39"/>
      <x:c r="G19" s="39"/>
      <x:c r="H19" s="33" t="str">
        <x:v>במלאי</x:v>
      </x:c>
      <x:c r="I19" s="33" t="str">
        <x:v>מכשיר</x:v>
      </x:c>
      <x:c r="J19" s="33" t="e">
        <x:f>HYPERLINK("https://www.wallashops.co.il/item/143709","פתח דף מוצר")</x:f>
        <x:v>HYPERLINK is not implemented. linkLocation=https://www.wallashops.co.il/item/143709, friendlyName=פתח דף מוצר</x:v>
      </x:c>
      <x:c r="K19" s="33" t="str">
        <x:v>דף מוצר חי 09.08.2026</x:v>
      </x:c>
      <x:c r="L19" s="33" t="str">
        <x:v>מחיר קנייה רגיל; הצעות לא נכללו</x:v>
      </x:c>
      <x:c r="M19" s="34" t="str">
        <x:v>09.08.2026 09:01 (Asia/Jerusalem)</x:v>
      </x:c>
    </x:row>
    <x:row r="20">
      <x:c r="A20" s="32" t="str">
        <x:v>Walla Shops</x:v>
      </x:c>
      <x:c r="B20" s="33" t="n">
        <x:v>3</x:v>
      </x:c>
      <x:c r="C20" s="33" t="str">
        <x:v>D700</x:v>
      </x:c>
      <x:c r="D20" s="33" t="str">
        <x:v>שואב שוטף אלחוטי UWANT 23,000PA יו וונט דגם D700 Pro ₪1888 UWANT D700</x:v>
      </x:c>
      <x:c r="E20" s="39" t="n">
        <x:v>1701</x:v>
      </x:c>
      <x:c r="F20" s="39"/>
      <x:c r="G20" s="39"/>
      <x:c r="H20" s="33" t="str">
        <x:v>במלאי</x:v>
      </x:c>
      <x:c r="I20" s="33" t="str">
        <x:v>מכשיר</x:v>
      </x:c>
      <x:c r="J20" s="33" t="e">
        <x:f>HYPERLINK("https://www.wallashops.co.il/item/143711","פתח דף מוצר")</x:f>
        <x:v>HYPERLINK is not implemented. linkLocation=https://www.wallashops.co.il/item/143711, friendlyName=פתח דף מוצר</x:v>
      </x:c>
      <x:c r="K20" s="33" t="str">
        <x:v>דף מוצר חי 09.08.2026</x:v>
      </x:c>
      <x:c r="L20" s="33" t="str">
        <x:v>מחיר קנייה רגיל; הצעות לא נכללו</x:v>
      </x:c>
      <x:c r="M20" s="34" t="str">
        <x:v>09.08.2026 09:01 (Asia/Jerusalem)</x:v>
      </x:c>
    </x:row>
    <x:row r="21">
      <x:c r="A21" s="32" t="str">
        <x:v>Walla Shops</x:v>
      </x:c>
      <x:c r="B21" s="33" t="n">
        <x:v>4</x:v>
      </x:c>
      <x:c r="C21" s="33" t="str">
        <x:v>M400</x:v>
      </x:c>
      <x:c r="D21" s="33" t="str">
        <x:v>שואב ידני עוצמתי UWANT לשאיבת מזרונים, ספות וריפודים 13,800PA יו וונט דגם M400 ₪455 UWANT M400</x:v>
      </x:c>
      <x:c r="E21" s="39" t="n">
        <x:v>455</x:v>
      </x:c>
      <x:c r="F21" s="39"/>
      <x:c r="G21" s="39"/>
      <x:c r="H21" s="33" t="str">
        <x:v>במלאי</x:v>
      </x:c>
      <x:c r="I21" s="33" t="str">
        <x:v>מכשיר</x:v>
      </x:c>
      <x:c r="J21" s="33" t="e">
        <x:f>HYPERLINK("https://www.wallashops.co.il/item/143713","פתח דף מוצר")</x:f>
        <x:v>HYPERLINK is not implemented. linkLocation=https://www.wallashops.co.il/item/143713, friendlyName=פתח דף מוצר</x:v>
      </x:c>
      <x:c r="K21" s="33" t="str">
        <x:v>דף מוצר חי 09.08.2026</x:v>
      </x:c>
      <x:c r="L21" s="33" t="str">
        <x:v>מחיר קנייה רגיל; הצעות לא נכללו</x:v>
      </x:c>
      <x:c r="M21" s="34" t="str">
        <x:v>09.08.2026 09:01 (Asia/Jerusalem)</x:v>
      </x:c>
    </x:row>
    <x:row r="22">
      <x:c r="A22" s="32" t="str">
        <x:v>Walla Shops</x:v>
      </x:c>
      <x:c r="B22" s="33" t="n">
        <x:v>5</x:v>
      </x:c>
      <x:c r="C22" s="33" t="str">
        <x:v>M600</x:v>
      </x:c>
      <x:c r="D22" s="33" t="str">
        <x:v>שואב מזרנים עוצמתי 15,000Pa מבית UWANT ₪699 UWANT M600</x:v>
      </x:c>
      <x:c r="E22" s="39" t="n">
        <x:v>699</x:v>
      </x:c>
      <x:c r="F22" s="39"/>
      <x:c r="G22" s="39"/>
      <x:c r="H22" s="33" t="str">
        <x:v>במלאי</x:v>
      </x:c>
      <x:c r="I22" s="33" t="str">
        <x:v>מכשיר</x:v>
      </x:c>
      <x:c r="J22" s="33" t="e">
        <x:f>HYPERLINK("https://www.wallashops.co.il/item/152758","פתח דף מוצר")</x:f>
        <x:v>HYPERLINK is not implemented. linkLocation=https://www.wallashops.co.il/item/152758, friendlyName=פתח דף מוצר</x:v>
      </x:c>
      <x:c r="K22" s="33" t="str">
        <x:v>דף מוצר חי 09.08.2026</x:v>
      </x:c>
      <x:c r="L22" s="33" t="str">
        <x:v>מחיר קנייה רגיל; הצעות לא נכללו</x:v>
      </x:c>
      <x:c r="M22" s="34" t="str">
        <x:v>09.08.2026 09:01 (Asia/Jerusalem)</x:v>
      </x:c>
    </x:row>
    <x:row r="23">
      <x:c r="A23" s="32" t="str">
        <x:v>Walla Shops</x:v>
      </x:c>
      <x:c r="B23" s="33" t="n">
        <x:v>6</x:v>
      </x:c>
      <x:c r="C23" s="33" t="str">
        <x:v>U400</x:v>
      </x:c>
      <x:c r="D23" s="33" t="str">
        <x:v>שואב שוטף רובוטי עם שטיפה במים חמים עוצמת שאיבה של 25,000Pa מבית UWANT ₪4395 UWANT U400</x:v>
      </x:c>
      <x:c r="E23" s="39" t="n">
        <x:v>4395</x:v>
      </x:c>
      <x:c r="F23" s="39"/>
      <x:c r="G23" s="39"/>
      <x:c r="H23" s="33" t="str">
        <x:v>במלאי</x:v>
      </x:c>
      <x:c r="I23" s="33" t="str">
        <x:v>מכשיר</x:v>
      </x:c>
      <x:c r="J23" s="33" t="e">
        <x:f>HYPERLINK("https://www.wallashops.co.il/item/160681","פתח דף מוצר")</x:f>
        <x:v>HYPERLINK is not implemented. linkLocation=https://www.wallashops.co.il/item/160681, friendlyName=פתח דף מוצר</x:v>
      </x:c>
      <x:c r="K23" s="33" t="str">
        <x:v>דף מוצר חי 09.08.2026</x:v>
      </x:c>
      <x:c r="L23" s="33" t="str">
        <x:v>מחיר קנייה רגיל; הצעות לא נכללו</x:v>
      </x:c>
      <x:c r="M23" s="34" t="str">
        <x:v>09.08.2026 09:01 (Asia/Jerusalem)</x:v>
      </x:c>
    </x:row>
    <x:row r="24">
      <x:c r="A24" s="32" t="str">
        <x:v>Walla Shops</x:v>
      </x:c>
      <x:c r="B24" s="33" t="n">
        <x:v>7</x:v>
      </x:c>
      <x:c r="C24" s="33" t="str">
        <x:v>V500</x:v>
      </x:c>
      <x:c r="D24" s="33" t="str">
        <x:v>שואב אבק אלחוטי עם עמדת ניקוי עצמי UWANT 25,000PA יו וונט דגם V500 ₪838 UWANT V500</x:v>
      </x:c>
      <x:c r="E24" s="39" t="n">
        <x:v>838</x:v>
      </x:c>
      <x:c r="F24" s="39"/>
      <x:c r="G24" s="39"/>
      <x:c r="H24" s="33" t="str">
        <x:v>במלאי</x:v>
      </x:c>
      <x:c r="I24" s="33" t="str">
        <x:v>מכשיר</x:v>
      </x:c>
      <x:c r="J24" s="33" t="e">
        <x:f>HYPERLINK("https://www.wallashops.co.il/item/144608","פתח דף מוצר")</x:f>
        <x:v>HYPERLINK is not implemented. linkLocation=https://www.wallashops.co.il/item/144608, friendlyName=פתח דף מוצר</x:v>
      </x:c>
      <x:c r="K24" s="33" t="str">
        <x:v>דף מוצר חי 09.08.2026</x:v>
      </x:c>
      <x:c r="L24" s="33" t="str">
        <x:v>מחיר קנייה רגיל; הצעות לא נכללו</x:v>
      </x:c>
      <x:c r="M24" s="34" t="str">
        <x:v>09.08.2026 09:01 (Asia/Jerusalem)</x:v>
      </x:c>
    </x:row>
    <x:row r="25">
      <x:c r="A25" s="32" t="str">
        <x:v>Walla Shops</x:v>
      </x:c>
      <x:c r="B25" s="33" t="n">
        <x:v>8</x:v>
      </x:c>
      <x:c r="C25" s="33" t="str">
        <x:v>V500</x:v>
      </x:c>
      <x:c r="D25" s="33" t="str">
        <x:v>שואב אבק אלחוטי עם עמדת ניקוי עצמי UWANT 25,000PA יו וונט דגם V500 ₪838 UWANT V500</x:v>
      </x:c>
      <x:c r="E25" s="39" t="n">
        <x:v>838</x:v>
      </x:c>
      <x:c r="F25" s="39"/>
      <x:c r="G25" s="39"/>
      <x:c r="H25" s="33" t="str">
        <x:v>במלאי</x:v>
      </x:c>
      <x:c r="I25" s="33" t="str">
        <x:v>מכשיר</x:v>
      </x:c>
      <x:c r="J25" s="33" t="e">
        <x:f>HYPERLINK("https://www.wallashops.co.il/item/143716","פתח דף מוצר")</x:f>
        <x:v>HYPERLINK is not implemented. linkLocation=https://www.wallashops.co.il/item/143716, friendlyName=פתח דף מוצר</x:v>
      </x:c>
      <x:c r="K25" s="33" t="str">
        <x:v>דף מוצר חי 09.08.2026</x:v>
      </x:c>
      <x:c r="L25" s="33" t="str">
        <x:v>מחיר קנייה רגיל; הצעות לא נכללו</x:v>
      </x:c>
      <x:c r="M25" s="34" t="str">
        <x:v>09.08.2026 09:01 (Asia/Jerusalem)</x:v>
      </x:c>
    </x:row>
    <x:row r="26">
      <x:c r="A26" s="32" t="str">
        <x:v>Walla Shops</x:v>
      </x:c>
      <x:c r="B26" s="33" t="n">
        <x:v>9</x:v>
      </x:c>
      <x:c r="C26" s="33" t="str">
        <x:v>V600</x:v>
      </x:c>
      <x:c r="D26" s="33" t="str">
        <x:v>שואב אבק אלחוטי עם עמדת ניקוי עצמי UWANT 31,000PA יו וונט דגם V600 ₪1490 UWANT V600</x:v>
      </x:c>
      <x:c r="E26" s="39" t="n">
        <x:v>1490</x:v>
      </x:c>
      <x:c r="F26" s="39"/>
      <x:c r="G26" s="39"/>
      <x:c r="H26" s="33" t="str">
        <x:v>במלאי</x:v>
      </x:c>
      <x:c r="I26" s="33" t="str">
        <x:v>מכשיר</x:v>
      </x:c>
      <x:c r="J26" s="33" t="e">
        <x:f>HYPERLINK("https://www.wallashops.co.il/item/143721","פתח דף מוצר")</x:f>
        <x:v>HYPERLINK is not implemented. linkLocation=https://www.wallashops.co.il/item/143721, friendlyName=פתח דף מוצר</x:v>
      </x:c>
      <x:c r="K26" s="33" t="str">
        <x:v>דף מוצר חי 09.08.2026</x:v>
      </x:c>
      <x:c r="L26" s="33" t="str">
        <x:v>מחיר קנייה רגיל; הצעות לא נכללו</x:v>
      </x:c>
      <x:c r="M26" s="34" t="str">
        <x:v>09.08.2026 09:01 (Asia/Jerusalem)</x:v>
      </x:c>
    </x:row>
    <x:row r="27">
      <x:c r="A27" s="32" t="str">
        <x:v>Walla Shops</x:v>
      </x:c>
      <x:c r="B27" s="33" t="n">
        <x:v>10</x:v>
      </x:c>
      <x:c r="C27" s="33" t="str">
        <x:v>V800</x:v>
      </x:c>
      <x:c r="D27" s="33" t="str">
        <x:v>שואב אלחוטי עם עמדת ריקון וניקוי עצמי מבית UWANT ₪2590 UWANT V800</x:v>
      </x:c>
      <x:c r="E27" s="39" t="n">
        <x:v>2590</x:v>
      </x:c>
      <x:c r="F27" s="39"/>
      <x:c r="G27" s="39"/>
      <x:c r="H27" s="33" t="str">
        <x:v>במלאי</x:v>
      </x:c>
      <x:c r="I27" s="33" t="str">
        <x:v>מכשיר</x:v>
      </x:c>
      <x:c r="J27" s="33" t="e">
        <x:f>HYPERLINK("https://www.wallashops.co.il/item/160682","פתח דף מוצר")</x:f>
        <x:v>HYPERLINK is not implemented. linkLocation=https://www.wallashops.co.il/item/160682, friendlyName=פתח דף מוצר</x:v>
      </x:c>
      <x:c r="K27" s="33" t="str">
        <x:v>דף מוצר חי 09.08.2026</x:v>
      </x:c>
      <x:c r="L27" s="33" t="str">
        <x:v>מחיר קנייה רגיל; הצעות לא נכללו</x:v>
      </x:c>
      <x:c r="M27" s="34" t="str">
        <x:v>09.08.2026 09:01 (Asia/Jerusalem)</x:v>
      </x:c>
    </x:row>
    <x:row r="28">
      <x:c r="A28" s="32" t="str">
        <x:v>Walla Shops</x:v>
      </x:c>
      <x:c r="B28" s="33" t="n">
        <x:v>11</x:v>
      </x:c>
      <x:c r="C28" s="33" t="str">
        <x:v>Y200 Steam</x:v>
      </x:c>
      <x:c r="D28" s="33" t="str">
        <x:v>מנקה כתמים רב תכליתי עם קיטור מבית UWANT ₪990 UWANT Y200 Steam</x:v>
      </x:c>
      <x:c r="E28" s="39" t="n">
        <x:v>990</x:v>
      </x:c>
      <x:c r="F28" s="39"/>
      <x:c r="G28" s="39"/>
      <x:c r="H28" s="33" t="str">
        <x:v>במלאי</x:v>
      </x:c>
      <x:c r="I28" s="33" t="str">
        <x:v>מכשיר</x:v>
      </x:c>
      <x:c r="J28" s="33" t="e">
        <x:f>HYPERLINK("https://www.wallashops.co.il/item/158280","פתח דף מוצר")</x:f>
        <x:v>HYPERLINK is not implemented. linkLocation=https://www.wallashops.co.il/item/158280, friendlyName=פתח דף מוצר</x:v>
      </x:c>
      <x:c r="K28" s="33" t="str">
        <x:v>דף מוצר חי 09.08.2026</x:v>
      </x:c>
      <x:c r="L28" s="33" t="str">
        <x:v>מחיר קנייה רגיל; הצעות לא נכללו</x:v>
      </x:c>
      <x:c r="M28" s="34" t="str">
        <x:v>09.08.2026 09:01 (Asia/Jerusalem)</x:v>
      </x:c>
    </x:row>
    <x:row r="29">
      <x:c r="A29" s="32" t="str">
        <x:v>NetoNeto</x:v>
      </x:c>
      <x:c r="B29" s="33" t="n">
        <x:v>1</x:v>
      </x:c>
      <x:c r="C29" s="33" t="str">
        <x:v>B200</x:v>
      </x:c>
      <x:c r="D29" s="33" t="str">
        <x:v>מגהץ קיטור אנכי למנקה ריפודים B200 מבית UWANT יו וונט B200 IRON ₪390</x:v>
      </x:c>
      <x:c r="E29" s="39" t="n">
        <x:v>390</x:v>
      </x:c>
      <x:c r="F29" s="39"/>
      <x:c r="G29" s="39"/>
      <x:c r="H29" s="33" t="str">
        <x:v>במלאי</x:v>
      </x:c>
      <x:c r="I29" s="33" t="str">
        <x:v>אביזר</x:v>
      </x:c>
      <x:c r="J29" s="33" t="e">
        <x:f>HYPERLINK("https://www.netoneto.co.il/product/%D7%9E%D7%92%D7%94%D7%A5-%D7%A7%D7%99%D7%98%D7%95%D7%A8-%D7%90%D7%A0%D7%9B%D7%99-%D7%9C%D7%9E%D7%A0%D7%A7%D7%94-%D7%A8%D7%99%D7%A4%D7%95%D7%93%D7%99%D7%9D-b200-%D7%9E%D7%91%D7%99%D7%AA-uwant-%D7%99%D7%95-%D7%95%D7%95%D7%A0%D7%98-b200-iron","פתח דף מוצר")</x:f>
        <x:v>HYPERLINK is not implemented. linkLocation=https://www.netoneto.co.il/product/%D7%9E%D7%92%D7%94%D7%A5-%D7%A7%D7%99%D7%98%D7%95%D7%A8-%D7%90%D7%A0%D7%9B%D7%99-%D7%9C%D7%9E%D7%A0%D7%A7%D7%94-%D7%A8%D7%99%D7%A4%D7%95%D7%93%D7%99%D7%9D-b200-%D7%9E%D7%91%D7%99%D7%AA-uwant-%D7%99%D7%95-%D7%95%D7%95%D7%A0%D7%98-b200-iron, friendlyName=פתח דף מוצר</x:v>
      </x:c>
      <x:c r="K29" s="33" t="str">
        <x:v>דף מוצר חי 09.08.2026</x:v>
      </x:c>
      <x:c r="L29" s="33" t="str"/>
      <x:c r="M29" s="34" t="str">
        <x:v>09.08.2026 09:01 (Asia/Jerusalem)</x:v>
      </x:c>
    </x:row>
    <x:row r="30">
      <x:c r="A30" s="32" t="str">
        <x:v>NetoNeto</x:v>
      </x:c>
      <x:c r="B30" s="33" t="n">
        <x:v>2</x:v>
      </x:c>
      <x:c r="C30" s="33" t="str">
        <x:v>D500</x:v>
      </x:c>
      <x:c r="D30" s="33" t="str">
        <x:v>שואב שוטף UWANT יו וונט דגם D500 ₪879</x:v>
      </x:c>
      <x:c r="E30" s="39" t="n">
        <x:v>879</x:v>
      </x:c>
      <x:c r="F30" s="39"/>
      <x:c r="G30" s="39"/>
      <x:c r="H30" s="33" t="str">
        <x:v>במלאי</x:v>
      </x:c>
      <x:c r="I30" s="33" t="str">
        <x:v>מכשיר</x:v>
      </x:c>
      <x:c r="J30" s="33" t="e">
        <x:f>HYPERLINK("https://www.netoneto.co.il/product/%D7%A9%D7%95%D7%90%D7%91-%D7%A9%D7%95%D7%98%D7%A3-uwant-%D7%99%D7%95-%D7%95%D7%95%D7%A0%D7%98-%D7%93%D7%92%D7%9D-d500","פתח דף מוצר")</x:f>
        <x:v>HYPERLINK is not implemented. linkLocation=https://www.netoneto.co.il/product/%D7%A9%D7%95%D7%90%D7%91-%D7%A9%D7%95%D7%98%D7%A3-uwant-%D7%99%D7%95-%D7%95%D7%95%D7%A0%D7%98-%D7%93%D7%92%D7%9D-d500, friendlyName=פתח דף מוצר</x:v>
      </x:c>
      <x:c r="K30" s="33" t="str">
        <x:v>דף מוצר חי 09.08.2026</x:v>
      </x:c>
      <x:c r="L30" s="33" t="str"/>
      <x:c r="M30" s="34" t="str">
        <x:v>09.08.2026 09:01 (Asia/Jerusalem)</x:v>
      </x:c>
    </x:row>
    <x:row r="31">
      <x:c r="A31" s="32" t="str">
        <x:v>NetoNeto</x:v>
      </x:c>
      <x:c r="B31" s="33" t="n">
        <x:v>3</x:v>
      </x:c>
      <x:c r="C31" s="33" t="str">
        <x:v>D600</x:v>
      </x:c>
      <x:c r="D31" s="33" t="str">
        <x:v>שואב שוטף UWANT יו וונט דגם D600 ₪1438</x:v>
      </x:c>
      <x:c r="E31" s="39" t="n">
        <x:v>1347</x:v>
      </x:c>
      <x:c r="F31" s="39"/>
      <x:c r="G31" s="39"/>
      <x:c r="H31" s="33" t="str">
        <x:v>במלאי</x:v>
      </x:c>
      <x:c r="I31" s="33" t="str">
        <x:v>מכשיר</x:v>
      </x:c>
      <x:c r="J31" s="33" t="e">
        <x:f>HYPERLINK("https://www.netoneto.co.il/product/%D7%A9%D7%95%D7%90%D7%91-%D7%A9%D7%95%D7%98%D7%A3-uwant-%D7%99%D7%95-%D7%95%D7%95%D7%A0%D7%98-%D7%93%D7%92%D7%9D-d600","פתח דף מוצר")</x:f>
        <x:v>HYPERLINK is not implemented. linkLocation=https://www.netoneto.co.il/product/%D7%A9%D7%95%D7%90%D7%91-%D7%A9%D7%95%D7%98%D7%A3-uwant-%D7%99%D7%95-%D7%95%D7%95%D7%A0%D7%98-%D7%93%D7%92%D7%9D-d600, friendlyName=פתח דף מוצר</x:v>
      </x:c>
      <x:c r="K31" s="33" t="str">
        <x:v>דף מוצר חי 09.08.2026</x:v>
      </x:c>
      <x:c r="L31" s="33" t="str"/>
      <x:c r="M31" s="34" t="str">
        <x:v>09.08.2026 09:01 (Asia/Jerusalem)</x:v>
      </x:c>
    </x:row>
    <x:row r="32">
      <x:c r="A32" s="32" t="str">
        <x:v>NetoNeto</x:v>
      </x:c>
      <x:c r="B32" s="33" t="n">
        <x:v>4</x:v>
      </x:c>
      <x:c r="C32" s="33" t="str">
        <x:v>D700</x:v>
      </x:c>
      <x:c r="D32" s="33" t="str">
        <x:v>שואב שוטף UWANT יו וונט דגם D700 PRO ₪1888</x:v>
      </x:c>
      <x:c r="E32" s="39" t="n">
        <x:v>1883</x:v>
      </x:c>
      <x:c r="F32" s="39"/>
      <x:c r="G32" s="39"/>
      <x:c r="H32" s="33" t="str">
        <x:v>במלאי</x:v>
      </x:c>
      <x:c r="I32" s="33" t="str">
        <x:v>מכשיר</x:v>
      </x:c>
      <x:c r="J32" s="33" t="e">
        <x:f>HYPERLINK("https://www.netoneto.co.il/product/%D7%A9%D7%95%D7%90%D7%91-%D7%A9%D7%95%D7%98%D7%A3-uwant-%D7%99%D7%95-%D7%95%D7%95%D7%A0%D7%98-%D7%93%D7%92%D7%9D-d700-pro","פתח דף מוצר")</x:f>
        <x:v>HYPERLINK is not implemented. linkLocation=https://www.netoneto.co.il/product/%D7%A9%D7%95%D7%90%D7%91-%D7%A9%D7%95%D7%98%D7%A3-uwant-%D7%99%D7%95-%D7%95%D7%95%D7%A0%D7%98-%D7%93%D7%92%D7%9D-d700-pro, friendlyName=פתח דף מוצר</x:v>
      </x:c>
      <x:c r="K32" s="33" t="str">
        <x:v>דף מוצר חי 09.08.2026</x:v>
      </x:c>
      <x:c r="L32" s="33" t="str"/>
      <x:c r="M32" s="34" t="str">
        <x:v>09.08.2026 09:01 (Asia/Jerusalem)</x:v>
      </x:c>
    </x:row>
    <x:row r="33">
      <x:c r="A33" s="32" t="str">
        <x:v>NetoNeto</x:v>
      </x:c>
      <x:c r="B33" s="33" t="n">
        <x:v>5</x:v>
      </x:c>
      <x:c r="C33" s="33" t="str">
        <x:v>DX800</x:v>
      </x:c>
      <x:c r="D33" s="33" t="str">
        <x:v>שואב שוטף עם ניקוי קיטור UWANT יו וונט דגם DX800 ₪2689</x:v>
      </x:c>
      <x:c r="E33" s="39" t="n">
        <x:v>2689</x:v>
      </x:c>
      <x:c r="F33" s="39"/>
      <x:c r="G33" s="39"/>
      <x:c r="H33" s="33" t="str">
        <x:v>במלאי</x:v>
      </x:c>
      <x:c r="I33" s="33" t="str">
        <x:v>מכשיר</x:v>
      </x:c>
      <x:c r="J33" s="33" t="e">
        <x:f>HYPERLINK("https://www.netoneto.co.il/product/%D7%A9%D7%95%D7%90%D7%91-%D7%A9%D7%95%D7%98%D7%A3-%D7%A2%D7%9D-%D7%A0%D7%99%D7%A7%D7%95%D7%99-%D7%A7%D7%99%D7%98%D7%95%D7%A8-uwant-%D7%99%D7%95-%D7%95%D7%95%D7%A0%D7%98-%D7%93%D7%92%D7%9D-dx800","פתח דף מוצר")</x:f>
        <x:v>HYPERLINK is not implemented. linkLocation=https://www.netoneto.co.il/product/%D7%A9%D7%95%D7%90%D7%91-%D7%A9%D7%95%D7%98%D7%A3-%D7%A2%D7%9D-%D7%A0%D7%99%D7%A7%D7%95%D7%99-%D7%A7%D7%99%D7%98%D7%95%D7%A8-uwant-%D7%99%D7%95-%D7%95%D7%95%D7%A0%D7%98-%D7%93%D7%92%D7%9D-dx800, friendlyName=פתח דף מוצר</x:v>
      </x:c>
      <x:c r="K33" s="33" t="str">
        <x:v>דף מוצר חי 09.08.2026</x:v>
      </x:c>
      <x:c r="L33" s="33" t="str"/>
      <x:c r="M33" s="34" t="str">
        <x:v>09.08.2026 09:01 (Asia/Jerusalem)</x:v>
      </x:c>
    </x:row>
    <x:row r="34">
      <x:c r="A34" s="32" t="str">
        <x:v>NetoNeto</x:v>
      </x:c>
      <x:c r="B34" s="33" t="n">
        <x:v>6</x:v>
      </x:c>
      <x:c r="C34" s="33" t="str">
        <x:v>M400</x:v>
      </x:c>
      <x:c r="D34" s="33" t="str">
        <x:v>שואב מזרנים עוצמתי UWANT יו וונט דגם M400 ₪367</x:v>
      </x:c>
      <x:c r="E34" s="39" t="n">
        <x:v>363</x:v>
      </x:c>
      <x:c r="F34" s="39"/>
      <x:c r="G34" s="39"/>
      <x:c r="H34" s="33" t="str">
        <x:v>במלאי</x:v>
      </x:c>
      <x:c r="I34" s="33" t="str">
        <x:v>מכשיר</x:v>
      </x:c>
      <x:c r="J34" s="33" t="e">
        <x:f>HYPERLINK("https://www.netoneto.co.il/product/%D7%A9%D7%95%D7%90%D7%91-%D7%9E%D7%96%D7%A8%D7%A0%D7%99%D7%9D-%D7%A2%D7%95%D7%A6%D7%9E%D7%AA%D7%99-uwant-%D7%99%D7%95-%D7%95%D7%95%D7%A0%D7%98-%D7%93%D7%92%D7%9D-m400","פתח דף מוצר")</x:f>
        <x:v>HYPERLINK is not implemented. linkLocation=https://www.netoneto.co.il/product/%D7%A9%D7%95%D7%90%D7%91-%D7%9E%D7%96%D7%A8%D7%A0%D7%99%D7%9D-%D7%A2%D7%95%D7%A6%D7%9E%D7%AA%D7%99-uwant-%D7%99%D7%95-%D7%95%D7%95%D7%A0%D7%98-%D7%93%D7%92%D7%9D-m400, friendlyName=פתח דף מוצר</x:v>
      </x:c>
      <x:c r="K34" s="33" t="str">
        <x:v>דף מוצר חי 09.08.2026</x:v>
      </x:c>
      <x:c r="L34" s="33" t="str"/>
      <x:c r="M34" s="34" t="str">
        <x:v>09.08.2026 09:01 (Asia/Jerusalem)</x:v>
      </x:c>
    </x:row>
    <x:row r="35">
      <x:c r="A35" s="32" t="str">
        <x:v>NetoNeto</x:v>
      </x:c>
      <x:c r="B35" s="33" t="n">
        <x:v>7</x:v>
      </x:c>
      <x:c r="C35" s="33" t="str">
        <x:v>M600</x:v>
      </x:c>
      <x:c r="D35" s="33" t="str">
        <x:v>שואב מזרנים עוצמתי UWANT יו וונט דגם M600 ₪699</x:v>
      </x:c>
      <x:c r="E35" s="39" t="n">
        <x:v>674</x:v>
      </x:c>
      <x:c r="F35" s="39"/>
      <x:c r="G35" s="39"/>
      <x:c r="H35" s="33" t="str">
        <x:v>במלאי</x:v>
      </x:c>
      <x:c r="I35" s="33" t="str">
        <x:v>מכשיר</x:v>
      </x:c>
      <x:c r="J35" s="33" t="e">
        <x:f>HYPERLINK("https://www.netoneto.co.il/product/%D7%A9%D7%95%D7%90%D7%91-%D7%9E%D7%96%D7%A8%D7%A0%D7%99%D7%9D-%D7%A2%D7%95%D7%A6%D7%9E%D7%AA%D7%99-uwant-%D7%99%D7%95-%D7%95%D7%95%D7%A0%D7%98-%D7%93%D7%92%D7%9D-m600","פתח דף מוצר")</x:f>
        <x:v>HYPERLINK is not implemented. linkLocation=https://www.netoneto.co.il/product/%D7%A9%D7%95%D7%90%D7%91-%D7%9E%D7%96%D7%A8%D7%A0%D7%99%D7%9D-%D7%A2%D7%95%D7%A6%D7%9E%D7%AA%D7%99-uwant-%D7%99%D7%95-%D7%95%D7%95%D7%A0%D7%98-%D7%93%D7%92%D7%9D-m600, friendlyName=פתח דף מוצר</x:v>
      </x:c>
      <x:c r="K35" s="33" t="str">
        <x:v>דף מוצר חי 09.08.2026</x:v>
      </x:c>
      <x:c r="L35" s="33" t="str"/>
      <x:c r="M35" s="34" t="str">
        <x:v>09.08.2026 09:01 (Asia/Jerusalem)</x:v>
      </x:c>
    </x:row>
    <x:row r="36">
      <x:c r="A36" s="32" t="str">
        <x:v>NetoNeto</x:v>
      </x:c>
      <x:c r="B36" s="33" t="n">
        <x:v>8</x:v>
      </x:c>
      <x:c r="C36" s="33" t="str">
        <x:v>T300</x:v>
      </x:c>
      <x:c r="D36" s="33" t="str">
        <x:v>רובוט שואב שוטף עם שטיפה ומערכת מילוי וריקון עצמית UWANT יו וונט דגם T300 ₪3204</x:v>
      </x:c>
      <x:c r="E36" s="39" t="n">
        <x:v>3201</x:v>
      </x:c>
      <x:c r="F36" s="39"/>
      <x:c r="G36" s="39"/>
      <x:c r="H36" s="33" t="str">
        <x:v>במלאי</x:v>
      </x:c>
      <x:c r="I36" s="33" t="str">
        <x:v>מכשיר</x:v>
      </x:c>
      <x:c r="J36" s="33" t="e">
        <x:f>HYPERLINK("https://www.netoneto.co.il/product/%D7%A8%D7%95%D7%91%D7%95%D7%98-%D7%A9%D7%95%D7%90%D7%91-%D7%A9%D7%95%D7%98%D7%A3-%D7%A2%D7%9D-%D7%A9%D7%98%D7%99%D7%A4%D7%94-%D7%95%D7%9E%D7%A2%D7%A8%D7%9B%D7%AA-%D7%9E%D7%99%D7%9C%D7%95%D7%99-%D7%95%D7%A8%D7%99%D7%A7%D7%95%D7%9F-%D7%A2%D7%A6%D7%9E%D7%99%D7%AA-uwant-%D7%99%D7%95-%D7%95%D7%95%D7%A0%D7%98-%D7%93%D7%92%D7%9D-t300","פתח דף מוצר")</x:f>
        <x:v>HYPERLINK is not implemented. linkLocation=https://www.netoneto.co.il/product/%D7%A8%D7%95%D7%91%D7%95%D7%98-%D7%A9%D7%95%D7%90%D7%91-%D7%A9%D7%95%D7%98%D7%A3-%D7%A2%D7%9D-%D7%A9%D7%98%D7%99%D7%A4%D7%94-%D7%95%D7%9E%D7%A2%D7%A8%D7%9B%D7%AA-%D7%9E%D7%99%D7%9C%D7%95%D7%99-%D7%95%D7%A8%D7%99%D7%A7%D7%95%D7%9F-%D7%A2%D7%A6%D7%9E%D7%99%D7%AA-uwant-%D7%99%D7%95-%D7%95%D7%95%D7%A0%D7%98-%D7%93%D7%92%D7%9D-t300, friendlyName=פתח דף מוצר</x:v>
      </x:c>
      <x:c r="K36" s="33" t="str">
        <x:v>דף מוצר חי 09.08.2026</x:v>
      </x:c>
      <x:c r="L36" s="33" t="str"/>
      <x:c r="M36" s="34" t="str">
        <x:v>09.08.2026 09:01 (Asia/Jerusalem)</x:v>
      </x:c>
    </x:row>
    <x:row r="37">
      <x:c r="A37" s="32" t="str">
        <x:v>NetoNeto</x:v>
      </x:c>
      <x:c r="B37" s="33" t="n">
        <x:v>9</x:v>
      </x:c>
      <x:c r="C37" s="33" t="str">
        <x:v>U300 V25</x:v>
      </x:c>
      <x:c r="D37" s="33" t="str">
        <x:v>שואב שוטף רובוטי עם עמדת ריקון עצמתית UWANT יו וונט דגם U300 V25 ₪1958</x:v>
      </x:c>
      <x:c r="E37" s="39" t="n">
        <x:v>1943</x:v>
      </x:c>
      <x:c r="F37" s="39"/>
      <x:c r="G37" s="39"/>
      <x:c r="H37" s="33" t="str">
        <x:v>במלאי</x:v>
      </x:c>
      <x:c r="I37" s="33" t="str">
        <x:v>מכשיר</x:v>
      </x:c>
      <x:c r="J37" s="33" t="e">
        <x:f>HYPERLINK("https://www.netoneto.co.il/product/%D7%A9%D7%95%D7%90%D7%91-%D7%A9%D7%95%D7%98%D7%A3-%D7%A8%D7%95%D7%91%D7%95%D7%98%D7%99-%D7%A2%D7%9D-%D7%A2%D7%9E%D7%93%D7%AA-%D7%A8%D7%99%D7%A7%D7%95%D7%9F-%D7%A2%D7%A6%D7%9E%D7%AA%D7%99%D7%AA-uwant-%D7%99%D7%95-%D7%95%D7%95%D7%A0%D7%98-%D7%93%D7%92%D7%9D-u300-v5","פתח דף מוצר")</x:f>
        <x:v>HYPERLINK is not implemented. linkLocation=https://www.netoneto.co.il/product/%D7%A9%D7%95%D7%90%D7%91-%D7%A9%D7%95%D7%98%D7%A3-%D7%A8%D7%95%D7%91%D7%95%D7%98%D7%99-%D7%A2%D7%9D-%D7%A2%D7%9E%D7%93%D7%AA-%D7%A8%D7%99%D7%A7%D7%95%D7%9F-%D7%A2%D7%A6%D7%9E%D7%AA%D7%99%D7%AA-uwant-%D7%99%D7%95-%D7%95%D7%95%D7%A0%D7%98-%D7%93%D7%92%D7%9D-u300-v5, friendlyName=פתח דף מוצר</x:v>
      </x:c>
      <x:c r="K37" s="33" t="str">
        <x:v>דף מוצר חי 09.08.2026</x:v>
      </x:c>
      <x:c r="L37" s="33" t="str"/>
      <x:c r="M37" s="34" t="str">
        <x:v>09.08.2026 09:01 (Asia/Jerusalem)</x:v>
      </x:c>
    </x:row>
    <x:row r="38">
      <x:c r="A38" s="32" t="str">
        <x:v>NetoNeto</x:v>
      </x:c>
      <x:c r="B38" s="33" t="n">
        <x:v>10</x:v>
      </x:c>
      <x:c r="C38" s="33" t="str">
        <x:v>U400</x:v>
      </x:c>
      <x:c r="D38" s="33" t="str">
        <x:v>שואב שוטף רובוטי UWANT יו וונט דגם U400 ₪4321</x:v>
      </x:c>
      <x:c r="E38" s="39" t="n">
        <x:v>4317</x:v>
      </x:c>
      <x:c r="F38" s="39"/>
      <x:c r="G38" s="39"/>
      <x:c r="H38" s="33" t="str">
        <x:v>במלאי</x:v>
      </x:c>
      <x:c r="I38" s="33" t="str">
        <x:v>מכשיר</x:v>
      </x:c>
      <x:c r="J38" s="33" t="e">
        <x:f>HYPERLINK("https://www.netoneto.co.il/product/%D7%A9%D7%95%D7%90%D7%91-%D7%A9%D7%95%D7%98%D7%A3-%D7%A8%D7%95%D7%91%D7%95%D7%98%D7%99-uwant-%D7%99%D7%95-%D7%95%D7%95%D7%A0%D7%98-%D7%93%D7%92%D7%9D-u400","פתח דף מוצר")</x:f>
        <x:v>HYPERLINK is not implemented. linkLocation=https://www.netoneto.co.il/product/%D7%A9%D7%95%D7%90%D7%91-%D7%A9%D7%95%D7%98%D7%A3-%D7%A8%D7%95%D7%91%D7%95%D7%98%D7%99-uwant-%D7%99%D7%95-%D7%95%D7%95%D7%A0%D7%98-%D7%93%D7%92%D7%9D-u400, friendlyName=פתח דף מוצר</x:v>
      </x:c>
      <x:c r="K38" s="33" t="str">
        <x:v>דף מוצר חי 09.08.2026</x:v>
      </x:c>
      <x:c r="L38" s="33" t="str"/>
      <x:c r="M38" s="34" t="str">
        <x:v>09.08.2026 09:01 (Asia/Jerusalem)</x:v>
      </x:c>
    </x:row>
    <x:row r="39">
      <x:c r="A39" s="32" t="str">
        <x:v>NetoNeto</x:v>
      </x:c>
      <x:c r="B39" s="33" t="n">
        <x:v>11</x:v>
      </x:c>
      <x:c r="C39" s="33" t="str">
        <x:v>V500</x:v>
      </x:c>
      <x:c r="D39" s="33" t="str">
        <x:v>שואב אלחוטי עם עמדת ניקוי עצמי UWANT יו וונט דגם V500 ₪827</x:v>
      </x:c>
      <x:c r="E39" s="39" t="n">
        <x:v>796</x:v>
      </x:c>
      <x:c r="F39" s="39"/>
      <x:c r="G39" s="39"/>
      <x:c r="H39" s="33" t="str">
        <x:v>במלאי</x:v>
      </x:c>
      <x:c r="I39" s="33" t="str">
        <x:v>מכשיר</x:v>
      </x:c>
      <x:c r="J39" s="33" t="e">
        <x:f>HYPERLINK("https://www.netoneto.co.il/product/%D7%A9%D7%95%D7%90%D7%91-%D7%90%D7%9C%D7%97%D7%95%D7%98%D7%99-%D7%A2%D7%9D-%D7%A2%D7%9E%D7%93%D7%AA-%D7%A0%D7%99%D7%A7%D7%95%D7%99-%D7%A2%D7%A6%D7%9E%D7%99-uwant-%D7%99%D7%95-%D7%95%D7%95%D7%A0%D7%98-%D7%93%D7%92%D7%9D-v500","פתח דף מוצר")</x:f>
        <x:v>HYPERLINK is not implemented. linkLocation=https://www.netoneto.co.il/product/%D7%A9%D7%95%D7%90%D7%91-%D7%90%D7%9C%D7%97%D7%95%D7%98%D7%99-%D7%A2%D7%9D-%D7%A2%D7%9E%D7%93%D7%AA-%D7%A0%D7%99%D7%A7%D7%95%D7%99-%D7%A2%D7%A6%D7%9E%D7%99-uwant-%D7%99%D7%95-%D7%95%D7%95%D7%A0%D7%98-%D7%93%D7%92%D7%9D-v500, friendlyName=פתח דף מוצר</x:v>
      </x:c>
      <x:c r="K39" s="33" t="str">
        <x:v>דף מוצר חי 09.08.2026</x:v>
      </x:c>
      <x:c r="L39" s="33" t="str"/>
      <x:c r="M39" s="34" t="str">
        <x:v>09.08.2026 09:01 (Asia/Jerusalem)</x:v>
      </x:c>
    </x:row>
    <x:row r="40">
      <x:c r="A40" s="32" t="str">
        <x:v>NetoNeto</x:v>
      </x:c>
      <x:c r="B40" s="33" t="n">
        <x:v>12</x:v>
      </x:c>
      <x:c r="C40" s="33" t="str">
        <x:v>V600</x:v>
      </x:c>
      <x:c r="D40" s="33" t="str">
        <x:v>שואב אלחוטי עם עמדת ניקוי עצמי UWANT יו וונט דגם V600 ₪1357</x:v>
      </x:c>
      <x:c r="E40" s="39" t="n">
        <x:v>1354</x:v>
      </x:c>
      <x:c r="F40" s="39"/>
      <x:c r="G40" s="39"/>
      <x:c r="H40" s="33" t="str">
        <x:v>במלאי</x:v>
      </x:c>
      <x:c r="I40" s="33" t="str">
        <x:v>מכשיר</x:v>
      </x:c>
      <x:c r="J40" s="33" t="e">
        <x:f>HYPERLINK("https://www.netoneto.co.il/product/%D7%A9%D7%95%D7%90%D7%91-%D7%90%D7%9C%D7%97%D7%95%D7%98%D7%99-%D7%A2%D7%9D-%D7%A2%D7%9E%D7%93%D7%AA-%D7%A0%D7%99%D7%A7%D7%95%D7%99-%D7%A2%D7%A6%D7%9E%D7%99-uwant-%D7%99%D7%95-%D7%95%D7%95%D7%A0%D7%98-%D7%93%D7%92%D7%9D-v600","פתח דף מוצר")</x:f>
        <x:v>HYPERLINK is not implemented. linkLocation=https://www.netoneto.co.il/product/%D7%A9%D7%95%D7%90%D7%91-%D7%90%D7%9C%D7%97%D7%95%D7%98%D7%99-%D7%A2%D7%9D-%D7%A2%D7%9E%D7%93%D7%AA-%D7%A0%D7%99%D7%A7%D7%95%D7%99-%D7%A2%D7%A6%D7%9E%D7%99-uwant-%D7%99%D7%95-%D7%95%D7%95%D7%A0%D7%98-%D7%93%D7%92%D7%9D-v600, friendlyName=פתח דף מוצר</x:v>
      </x:c>
      <x:c r="K40" s="33" t="str">
        <x:v>דף מוצר חי 09.08.2026</x:v>
      </x:c>
      <x:c r="L40" s="33" t="str"/>
      <x:c r="M40" s="34" t="str">
        <x:v>09.08.2026 09:01 (Asia/Jerusalem)</x:v>
      </x:c>
    </x:row>
    <x:row r="41">
      <x:c r="A41" s="32" t="str">
        <x:v>NetoNeto</x:v>
      </x:c>
      <x:c r="B41" s="33" t="n">
        <x:v>13</x:v>
      </x:c>
      <x:c r="C41" s="33" t="str">
        <x:v>V800</x:v>
      </x:c>
      <x:c r="D41" s="33" t="str">
        <x:v>שואב אלחוטי עם עמדת ריקון וניקוי עצמי UWANT יו וונט דגם V800 ₪2327</x:v>
      </x:c>
      <x:c r="E41" s="39" t="n">
        <x:v>2324</x:v>
      </x:c>
      <x:c r="F41" s="39"/>
      <x:c r="G41" s="39"/>
      <x:c r="H41" s="33" t="str">
        <x:v>במלאי</x:v>
      </x:c>
      <x:c r="I41" s="33" t="str">
        <x:v>מכשיר</x:v>
      </x:c>
      <x:c r="J41" s="33" t="e">
        <x:f>HYPERLINK("https://www.netoneto.co.il/product/%D7%A9%D7%95%D7%90%D7%91-%D7%90%D7%9C%D7%97%D7%95%D7%98%D7%99-%D7%A2%D7%9D-%D7%A2%D7%9E%D7%93%D7%AA-%D7%A8%D7%99%D7%A7%D7%95%D7%9F-%D7%95%D7%A0%D7%99%D7%A7%D7%95%D7%99-%D7%A2%D7%A6%D7%9E%D7%99-uwant-%D7%99%D7%95-%D7%95%D7%95%D7%A0%D7%98-%D7%93%D7%92%D7%9D-v800","פתח דף מוצר")</x:f>
        <x:v>HYPERLINK is not implemented. linkLocation=https://www.netoneto.co.il/product/%D7%A9%D7%95%D7%90%D7%91-%D7%90%D7%9C%D7%97%D7%95%D7%98%D7%99-%D7%A2%D7%9D-%D7%A2%D7%9E%D7%93%D7%AA-%D7%A8%D7%99%D7%A7%D7%95%D7%9F-%D7%95%D7%A0%D7%99%D7%A7%D7%95%D7%99-%D7%A2%D7%A6%D7%9E%D7%99-uwant-%D7%99%D7%95-%D7%95%D7%95%D7%A0%D7%98-%D7%93%D7%92%D7%9D-v800, friendlyName=פתח דף מוצר</x:v>
      </x:c>
      <x:c r="K41" s="33" t="str">
        <x:v>דף מוצר חי 09.08.2026</x:v>
      </x:c>
      <x:c r="L41" s="33" t="str"/>
      <x:c r="M41" s="34" t="str">
        <x:v>09.08.2026 09:01 (Asia/Jerusalem)</x:v>
      </x:c>
    </x:row>
    <x:row r="42">
      <x:c r="A42" s="32" t="str">
        <x:v>NetoNeto</x:v>
      </x:c>
      <x:c r="B42" s="33" t="n">
        <x:v>14</x:v>
      </x:c>
      <x:c r="C42" s="33" t="str">
        <x:v>Y100 Steam</x:v>
      </x:c>
      <x:c r="D42" s="33" t="str">
        <x:v>מנקה כתמים רב תכליתי עם קיטור UWANT יו וונט דגם Y100STEAM ₪918</x:v>
      </x:c>
      <x:c r="E42" s="39" t="n">
        <x:v>918</x:v>
      </x:c>
      <x:c r="F42" s="39"/>
      <x:c r="G42" s="39"/>
      <x:c r="H42" s="33" t="str">
        <x:v>במלאי</x:v>
      </x:c>
      <x:c r="I42" s="33" t="str">
        <x:v>מכשיר</x:v>
      </x:c>
      <x:c r="J42" s="33" t="e">
        <x:f>HYPERLINK("https://www.netoneto.co.il/product/%D7%9E%D7%A0%D7%A7%D7%94-%D7%9B%D7%AA%D7%9E%D7%99%D7%9D-%D7%A8%D7%91-%D7%AA%D7%9B%D7%9C%D7%99%D7%AA%D7%99-%D7%A2%D7%9D-%D7%A7%D7%99%D7%98%D7%95%D7%A8-uwant-%D7%99%D7%95-%D7%95%D7%95%D7%A0%D7%98-%D7%93%D7%92%D7%9D-y100steam","פתח דף מוצר")</x:f>
        <x:v>HYPERLINK is not implemented. linkLocation=https://www.netoneto.co.il/product/%D7%9E%D7%A0%D7%A7%D7%94-%D7%9B%D7%AA%D7%9E%D7%99%D7%9D-%D7%A8%D7%91-%D7%AA%D7%9B%D7%9C%D7%99%D7%AA%D7%99-%D7%A2%D7%9D-%D7%A7%D7%99%D7%98%D7%95%D7%A8-uwant-%D7%99%D7%95-%D7%95%D7%95%D7%A0%D7%98-%D7%93%D7%92%D7%9D-y100steam, friendlyName=פתח דף מוצר</x:v>
      </x:c>
      <x:c r="K42" s="33" t="str">
        <x:v>דף מוצר חי 09.08.2026</x:v>
      </x:c>
      <x:c r="L42" s="33" t="str"/>
      <x:c r="M42" s="34" t="str">
        <x:v>09.08.2026 09:01 (Asia/Jerusalem)</x:v>
      </x:c>
    </x:row>
    <x:row r="43">
      <x:c r="A43" s="32" t="str">
        <x:v>CWC</x:v>
      </x:c>
      <x:c r="B43" s="33" t="n">
        <x:v>1</x:v>
      </x:c>
      <x:c r="C43" s="33" t="str">
        <x:v>B200</x:v>
      </x:c>
      <x:c r="D43" s="33" t="str">
        <x:v>מגהץ קיטור אנכי למנקה ריפודים B200 אפור UWANT ₪49</x:v>
      </x:c>
      <x:c r="E43" s="39" t="n">
        <x:v>49</x:v>
      </x:c>
      <x:c r="F43" s="39"/>
      <x:c r="G43" s="39"/>
      <x:c r="H43" s="33" t="str">
        <x:v>במלאי</x:v>
      </x:c>
      <x:c r="I43" s="33" t="str">
        <x:v>אביזר</x:v>
      </x:c>
      <x:c r="J43" s="33" t="e">
        <x:f>HYPERLINK("https://www.cwc.co.il/product/%d7%9e%d7%92%d7%94%d7%a5-%d7%a7%d7%99%d7%98%d7%95%d7%a8-%d7%90%d7%a0%d7%9b%d7%99-%d7%9c%d7%9e%d7%a0%d7%a7%d7%94-%d7%a8%d7%99%d7%a4%d7%95%d7%93%d7%99%d7%9d-b200-%d7%90%d7%a4%d7%95%d7%a8-uwant/","פתח דף מוצר")</x:f>
        <x:v>HYPERLINK is not implemented. linkLocation=https://www.cwc.co.il/product/%d7%9e%d7%92%d7%94%d7%a5-%d7%a7%d7%99%d7%98%d7%95%d7%a8-%d7%90%d7%a0%d7%9b%d7%99-%d7%9c%d7%9e%d7%a0%d7%a7%d7%94-%d7%a8%d7%99%d7%a4%d7%95%d7%93%d7%99%d7%9d-b200-%d7%90%d7%a4%d7%95%d7%a8-uwant/, friendlyName=פתח דף מוצר</x:v>
      </x:c>
      <x:c r="K43" s="33" t="str">
        <x:v>דף מוצר חי 09.08.2026</x:v>
      </x:c>
      <x:c r="L43" s="33" t="str"/>
      <x:c r="M43" s="34" t="str">
        <x:v>09.08.2026 09:01 (Asia/Jerusalem)</x:v>
      </x:c>
    </x:row>
    <x:row r="44">
      <x:c r="A44" s="32" t="str">
        <x:v>CWC</x:v>
      </x:c>
      <x:c r="B44" s="33" t="n">
        <x:v>2</x:v>
      </x:c>
      <x:c r="C44" s="33" t="str">
        <x:v>D500</x:v>
      </x:c>
      <x:c r="D44" s="33" t="str">
        <x:v>שואב שוטף אלחוטי D500 עם תחנת עגינה לבן יו וואנט UWANT ₪899</x:v>
      </x:c>
      <x:c r="E44" s="39" t="n">
        <x:v>899</x:v>
      </x:c>
      <x:c r="F44" s="39"/>
      <x:c r="G44" s="39"/>
      <x:c r="H44" s="33" t="str">
        <x:v>במלאי</x:v>
      </x:c>
      <x:c r="I44" s="33" t="str">
        <x:v>מכשיר</x:v>
      </x:c>
      <x:c r="J44" s="33" t="e">
        <x:f>HYPERLINK("https://www.cwc.co.il/product/%d7%a9%d7%95%d7%90%d7%91-%d7%a9%d7%95%d7%98%d7%a3-%d7%a2%d7%95%d7%9e%d7%93-d500-%d7%a2%d7%9d-%d7%aa%d7%97%d7%aa-%d7%a2%d7%92%d7%99%d7%a0%d7%94-%d7%9c%d7%91%d7%9f-%d7%99%d7%95-%d7%95%d7%95%d7%90%d7%a0/","פתח דף מוצר")</x:f>
        <x:v>HYPERLINK is not implemented. linkLocation=https://www.cwc.co.il/product/%d7%a9%d7%95%d7%90%d7%91-%d7%a9%d7%95%d7%98%d7%a3-%d7%a2%d7%95%d7%9e%d7%93-d500-%d7%a2%d7%9d-%d7%aa%d7%97%d7%aa-%d7%a2%d7%92%d7%99%d7%a0%d7%94-%d7%9c%d7%91%d7%9f-%d7%99%d7%95-%d7%95%d7%95%d7%90%d7%a0/, friendlyName=פתח דף מוצר</x:v>
      </x:c>
      <x:c r="K44" s="33" t="str">
        <x:v>דף מוצר חי 09.08.2026</x:v>
      </x:c>
      <x:c r="L44" s="33" t="str"/>
      <x:c r="M44" s="34" t="str">
        <x:v>09.08.2026 09:01 (Asia/Jerusalem)</x:v>
      </x:c>
    </x:row>
    <x:row r="45">
      <x:c r="A45" s="32" t="str">
        <x:v>CWC</x:v>
      </x:c>
      <x:c r="B45" s="33" t="n">
        <x:v>3</x:v>
      </x:c>
      <x:c r="C45" s="33" t="str">
        <x:v>D600</x:v>
      </x:c>
      <x:c r="D45" s="33" t="str">
        <x:v>שואב שוטף D600 עם תחנת עגינה שחור יו וואנט UWANT ₪1438</x:v>
      </x:c>
      <x:c r="E45" s="39" t="n">
        <x:v>1449</x:v>
      </x:c>
      <x:c r="F45" s="39"/>
      <x:c r="G45" s="39"/>
      <x:c r="H45" s="33" t="str">
        <x:v>במלאי</x:v>
      </x:c>
      <x:c r="I45" s="33" t="str">
        <x:v>מכשיר</x:v>
      </x:c>
      <x:c r="J45" s="33" t="e">
        <x:f>HYPERLINK("https://www.cwc.co.il/product/%d7%a9%d7%95%d7%90%d7%91-%d7%a9%d7%95%d7%98%d7%a3-%d7%a2%d7%95%d7%9e%d7%93-d600-%d7%a2%d7%9d-%d7%aa%d7%97%d7%aa-%d7%a2%d7%92%d7%99%d7%a0%d7%94-%d7%a9%d7%97%d7%95%d7%a8-%d7%99%d7%95-%d7%95%d7%95%d7%90/","פתח דף מוצר")</x:f>
        <x:v>HYPERLINK is not implemented. linkLocation=https://www.cwc.co.il/product/%d7%a9%d7%95%d7%90%d7%91-%d7%a9%d7%95%d7%98%d7%a3-%d7%a2%d7%95%d7%9e%d7%93-d600-%d7%a2%d7%9d-%d7%aa%d7%97%d7%aa-%d7%a2%d7%92%d7%99%d7%a0%d7%94-%d7%a9%d7%97%d7%95%d7%a8-%d7%99%d7%95-%d7%95%d7%95%d7%90/, friendlyName=פתח דף מוצר</x:v>
      </x:c>
      <x:c r="K45" s="33" t="str">
        <x:v>דף מוצר חי 09.08.2026</x:v>
      </x:c>
      <x:c r="L45" s="33" t="str"/>
      <x:c r="M45" s="34" t="str">
        <x:v>09.08.2026 09:01 (Asia/Jerusalem)</x:v>
      </x:c>
    </x:row>
    <x:row r="46">
      <x:c r="A46" s="32" t="str">
        <x:v>CWC</x:v>
      </x:c>
      <x:c r="B46" s="33" t="n">
        <x:v>4</x:v>
      </x:c>
      <x:c r="C46" s="33" t="str">
        <x:v>D700</x:v>
      </x:c>
      <x:c r="D46" s="33" t="str">
        <x:v>שואב שוטף D700 PRO עם תחנת עגינה שחור יו וואנט UWANT ₪1888</x:v>
      </x:c>
      <x:c r="E46" s="39" t="n">
        <x:v>1886</x:v>
      </x:c>
      <x:c r="F46" s="39"/>
      <x:c r="G46" s="39"/>
      <x:c r="H46" s="33" t="str">
        <x:v>במלאי</x:v>
      </x:c>
      <x:c r="I46" s="33" t="str">
        <x:v>מכשיר</x:v>
      </x:c>
      <x:c r="J46" s="33" t="e">
        <x:f>HYPERLINK("https://www.cwc.co.il/product/%d7%a9%d7%95%d7%90%d7%91-%d7%a9%d7%95%d7%98%d7%a3-%d7%a2%d7%95%d7%9e%d7%93-d700-pro-%d7%a2%d7%9d-%d7%aa%d7%97%d7%aa-%d7%a2%d7%92%d7%99%d7%a0%d7%94-%d7%a9%d7%97%d7%95%d7%a8-%d7%99%d7%95-%d7%95%d7%95/","פתח דף מוצר")</x:f>
        <x:v>HYPERLINK is not implemented. linkLocation=https://www.cwc.co.il/product/%d7%a9%d7%95%d7%90%d7%91-%d7%a9%d7%95%d7%98%d7%a3-%d7%a2%d7%95%d7%9e%d7%93-d700-pro-%d7%a2%d7%9d-%d7%aa%d7%97%d7%aa-%d7%a2%d7%92%d7%99%d7%a0%d7%94-%d7%a9%d7%97%d7%95%d7%a8-%d7%99%d7%95-%d7%95%d7%95/, friendlyName=פתח דף מוצר</x:v>
      </x:c>
      <x:c r="K46" s="33" t="str">
        <x:v>דף מוצר חי 09.08.2026</x:v>
      </x:c>
      <x:c r="L46" s="33" t="str"/>
      <x:c r="M46" s="34" t="str">
        <x:v>09.08.2026 09:01 (Asia/Jerusalem)</x:v>
      </x:c>
    </x:row>
    <x:row r="47">
      <x:c r="A47" s="32" t="str">
        <x:v>CWC</x:v>
      </x:c>
      <x:c r="B47" s="33" t="n">
        <x:v>5</x:v>
      </x:c>
      <x:c r="C47" s="33" t="str">
        <x:v>DX800</x:v>
      </x:c>
      <x:c r="D47" s="33" t="str">
        <x:v>שואב שוטף אלחוטי DX800 STEAM יו וואנט UWANT ₪2750</x:v>
      </x:c>
      <x:c r="E47" s="39" t="n">
        <x:v>2750</x:v>
      </x:c>
      <x:c r="F47" s="39"/>
      <x:c r="G47" s="39"/>
      <x:c r="H47" s="33" t="str">
        <x:v>במלאי</x:v>
      </x:c>
      <x:c r="I47" s="33" t="str">
        <x:v>מכשיר</x:v>
      </x:c>
      <x:c r="J47" s="33" t="e">
        <x:f>HYPERLINK("https://www.cwc.co.il/product/%d7%a9%d7%95%d7%90%d7%91-%d7%a9%d7%95%d7%98%d7%a3-%d7%90%d7%9c%d7%97%d7%95%d7%98%d7%99-dx800-steam-%d7%99%d7%95-%d7%95%d7%95%d7%90%d7%a0%d7%98-uwant/","פתח דף מוצר")</x:f>
        <x:v>HYPERLINK is not implemented. linkLocation=https://www.cwc.co.il/product/%d7%a9%d7%95%d7%90%d7%91-%d7%a9%d7%95%d7%98%d7%a3-%d7%90%d7%9c%d7%97%d7%95%d7%98%d7%99-dx800-steam-%d7%99%d7%95-%d7%95%d7%95%d7%90%d7%a0%d7%98-uwant/, friendlyName=פתח דף מוצר</x:v>
      </x:c>
      <x:c r="K47" s="33" t="str">
        <x:v>דף מוצר חי 09.08.2026</x:v>
      </x:c>
      <x:c r="L47" s="33" t="str"/>
      <x:c r="M47" s="34" t="str">
        <x:v>09.08.2026 09:01 (Asia/Jerusalem)</x:v>
      </x:c>
    </x:row>
    <x:row r="48">
      <x:c r="A48" s="32" t="str">
        <x:v>CWC</x:v>
      </x:c>
      <x:c r="B48" s="33" t="n">
        <x:v>6</x:v>
      </x:c>
      <x:c r="C48" s="33" t="str">
        <x:v>M400</x:v>
      </x:c>
      <x:c r="D48" s="33" t="str">
        <x:v>שואב ומחטא מזרונים וספות M400 לבן יו וואנט UWANT ₪367</x:v>
      </x:c>
      <x:c r="E48" s="39" t="n">
        <x:v>400</x:v>
      </x:c>
      <x:c r="F48" s="39"/>
      <x:c r="G48" s="39"/>
      <x:c r="H48" s="33" t="str">
        <x:v>במלאי</x:v>
      </x:c>
      <x:c r="I48" s="33" t="str">
        <x:v>מכשיר</x:v>
      </x:c>
      <x:c r="J48" s="33" t="e">
        <x:f>HYPERLINK("https://www.cwc.co.il/product/%d7%a9%d7%95%d7%90%d7%91-%d7%95%d7%9e%d7%97%d7%98%d7%90-%d7%9e%d7%96%d7%a8%d7%95%d7%a0%d7%99%d7%9d-m400-%d7%9c%d7%91%d7%9f-%d7%99%d7%95-%d7%95%d7%95%d7%90%d7%a0%d7%98-uwant/","פתח דף מוצר")</x:f>
        <x:v>HYPERLINK is not implemented. linkLocation=https://www.cwc.co.il/product/%d7%a9%d7%95%d7%90%d7%91-%d7%95%d7%9e%d7%97%d7%98%d7%90-%d7%9e%d7%96%d7%a8%d7%95%d7%a0%d7%99%d7%9d-m400-%d7%9c%d7%91%d7%9f-%d7%99%d7%95-%d7%95%d7%95%d7%90%d7%a0%d7%98-uwant/, friendlyName=פתח דף מוצר</x:v>
      </x:c>
      <x:c r="K48" s="33" t="str">
        <x:v>דף מוצר חי 09.08.2026</x:v>
      </x:c>
      <x:c r="L48" s="33" t="str"/>
      <x:c r="M48" s="34" t="str">
        <x:v>09.08.2026 09:01 (Asia/Jerusalem)</x:v>
      </x:c>
    </x:row>
    <x:row r="49">
      <x:c r="A49" s="32" t="str">
        <x:v>CWC</x:v>
      </x:c>
      <x:c r="B49" s="33" t="n">
        <x:v>7</x:v>
      </x:c>
      <x:c r="C49" s="33" t="str">
        <x:v>T300</x:v>
      </x:c>
      <x:c r="D49" s="33" t="str">
        <x:v>שואב שוטף רובוטי T300 לבן יו וואנט UWANT ₪3204</x:v>
      </x:c>
      <x:c r="E49" s="39" t="n">
        <x:v>3204</x:v>
      </x:c>
      <x:c r="F49" s="39"/>
      <x:c r="G49" s="39"/>
      <x:c r="H49" s="33" t="str">
        <x:v>במלאי</x:v>
      </x:c>
      <x:c r="I49" s="33" t="str">
        <x:v>מכשיר</x:v>
      </x:c>
      <x:c r="J49" s="33" t="e">
        <x:f>HYPERLINK("https://www.cwc.co.il/product/%d7%a9%d7%95%d7%90%d7%91-%d7%a9%d7%95%d7%98%d7%a3-%d7%a8%d7%95%d7%91%d7%95%d7%98%d7%99-t300-%d7%9c%d7%91%d7%9f-%d7%99%d7%95-%d7%95%d7%95%d7%90%d7%a0%d7%98-uwant/","פתח דף מוצר")</x:f>
        <x:v>HYPERLINK is not implemented. linkLocation=https://www.cwc.co.il/product/%d7%a9%d7%95%d7%90%d7%91-%d7%a9%d7%95%d7%98%d7%a3-%d7%a8%d7%95%d7%91%d7%95%d7%98%d7%99-t300-%d7%9c%d7%91%d7%9f-%d7%99%d7%95-%d7%95%d7%95%d7%90%d7%a0%d7%98-uwant/, friendlyName=פתח דף מוצר</x:v>
      </x:c>
      <x:c r="K49" s="33" t="str">
        <x:v>דף מוצר חי 09.08.2026</x:v>
      </x:c>
      <x:c r="L49" s="33" t="str"/>
      <x:c r="M49" s="34" t="str">
        <x:v>09.08.2026 09:01 (Asia/Jerusalem)</x:v>
      </x:c>
    </x:row>
    <x:row r="50">
      <x:c r="A50" s="32" t="str">
        <x:v>CWC</x:v>
      </x:c>
      <x:c r="B50" s="33" t="n">
        <x:v>8</x:v>
      </x:c>
      <x:c r="C50" s="33" t="str">
        <x:v>U300 V25</x:v>
      </x:c>
      <x:c r="D50" s="33" t="str">
        <x:v>שואב שוטף רובוטי V25 U300 עם תחנת עגינה וניקוי עצמי לבן יו וואנט UWANT ₪2690</x:v>
      </x:c>
      <x:c r="E50" s="39" t="n">
        <x:v>2690</x:v>
      </x:c>
      <x:c r="F50" s="39"/>
      <x:c r="G50" s="39"/>
      <x:c r="H50" s="33" t="str">
        <x:v>במלאי</x:v>
      </x:c>
      <x:c r="I50" s="33" t="str">
        <x:v>מכשיר</x:v>
      </x:c>
      <x:c r="J50" s="33" t="e">
        <x:f>HYPERLINK("https://www.cwc.co.il/product/%d7%a9%d7%95%d7%90%d7%91-%d7%a9%d7%95%d7%98%d7%a3-%d7%a8%d7%95%d7%91%d7%95%d7%98%d7%99-v25-u300-%d7%a2%d7%9d-%d7%aa%d7%97%d7%a0%d7%aa-%d7%a2%d7%92%d7%99%d7%a0%d7%94-%d7%95%d7%a0%d7%99%d7%a7%d7%95/","פתח דף מוצר")</x:f>
        <x:v>HYPERLINK is not implemented. linkLocation=https://www.cwc.co.il/product/%d7%a9%d7%95%d7%90%d7%91-%d7%a9%d7%95%d7%98%d7%a3-%d7%a8%d7%95%d7%91%d7%95%d7%98%d7%99-v25-u300-%d7%a2%d7%9d-%d7%aa%d7%97%d7%a0%d7%aa-%d7%a2%d7%92%d7%99%d7%a0%d7%94-%d7%95%d7%a0%d7%99%d7%a7%d7%95/, friendlyName=פתח דף מוצר</x:v>
      </x:c>
      <x:c r="K50" s="33" t="str">
        <x:v>דף מוצר חי 09.08.2026</x:v>
      </x:c>
      <x:c r="L50" s="33" t="str"/>
      <x:c r="M50" s="34" t="str">
        <x:v>09.08.2026 09:01 (Asia/Jerusalem)</x:v>
      </x:c>
    </x:row>
    <x:row r="51">
      <x:c r="A51" s="32" t="str">
        <x:v>CWC</x:v>
      </x:c>
      <x:c r="B51" s="33" t="n">
        <x:v>9</x:v>
      </x:c>
      <x:c r="C51" s="33" t="str">
        <x:v>U400</x:v>
      </x:c>
      <x:c r="D51" s="33" t="str">
        <x:v>שואב שוטף רובוטי U400 יו וואנט UWANT ₪4321</x:v>
      </x:c>
      <x:c r="E51" s="39" t="n">
        <x:v>4324</x:v>
      </x:c>
      <x:c r="F51" s="39"/>
      <x:c r="G51" s="39"/>
      <x:c r="H51" s="33" t="str">
        <x:v>במלאי</x:v>
      </x:c>
      <x:c r="I51" s="33" t="str">
        <x:v>מכשיר</x:v>
      </x:c>
      <x:c r="J51" s="33" t="e">
        <x:f>HYPERLINK("https://www.cwc.co.il/product/%d7%a9%d7%95%d7%90%d7%91-%d7%a9%d7%95%d7%98%d7%a3-%d7%a8%d7%95%d7%91%d7%95%d7%98%d7%99-u400-%d7%99%d7%95-%d7%95%d7%95%d7%90%d7%a0%d7%98-uwant/","פתח דף מוצר")</x:f>
        <x:v>HYPERLINK is not implemented. linkLocation=https://www.cwc.co.il/product/%d7%a9%d7%95%d7%90%d7%91-%d7%a9%d7%95%d7%98%d7%a3-%d7%a8%d7%95%d7%91%d7%95%d7%98%d7%99-u400-%d7%99%d7%95-%d7%95%d7%95%d7%90%d7%a0%d7%98-uwant/, friendlyName=פתח דף מוצר</x:v>
      </x:c>
      <x:c r="K51" s="33" t="str">
        <x:v>דף מוצר חי 09.08.2026</x:v>
      </x:c>
      <x:c r="L51" s="33" t="str"/>
      <x:c r="M51" s="34" t="str">
        <x:v>09.08.2026 09:01 (Asia/Jerusalem)</x:v>
      </x:c>
    </x:row>
    <x:row r="52">
      <x:c r="A52" s="32" t="str">
        <x:v>CWC</x:v>
      </x:c>
      <x:c r="B52" s="33" t="n">
        <x:v>10</x:v>
      </x:c>
      <x:c r="C52" s="33" t="str">
        <x:v>V500</x:v>
      </x:c>
      <x:c r="D52" s="33" t="str">
        <x:v>אביזר בעלי חיים לשואב יו וואנט V600/V500 UWANT ₪299</x:v>
      </x:c>
      <x:c r="E52" s="39" t="n">
        <x:v>299</x:v>
      </x:c>
      <x:c r="F52" s="39"/>
      <x:c r="G52" s="39"/>
      <x:c r="H52" s="33" t="str">
        <x:v>במלאי</x:v>
      </x:c>
      <x:c r="I52" s="33" t="str">
        <x:v>אביזר</x:v>
      </x:c>
      <x:c r="J52" s="33" t="e">
        <x:f>HYPERLINK("https://www.cwc.co.il/product/%d7%90%d7%91%d7%99%d7%96%d7%a8-%d7%91%d7%a2%d7%9c%d7%99-%d7%97%d7%99%d7%99%d7%9d-%d7%9c%d7%a9%d7%95%d7%90%d7%91-%d7%99%d7%95-%d7%95%d7%95%d7%90%d7%a0%d7%98-v600-uwant/","פתח דף מוצר")</x:f>
        <x:v>HYPERLINK is not implemented. linkLocation=https://www.cwc.co.il/product/%d7%90%d7%91%d7%99%d7%96%d7%a8-%d7%91%d7%a2%d7%9c%d7%99-%d7%97%d7%99%d7%99%d7%9d-%d7%9c%d7%a9%d7%95%d7%90%d7%91-%d7%99%d7%95-%d7%95%d7%95%d7%90%d7%a0%d7%98-v600-uwant/, friendlyName=פתח דף מוצר</x:v>
      </x:c>
      <x:c r="K52" s="33" t="str">
        <x:v>דף מוצר חי 09.08.2026</x:v>
      </x:c>
      <x:c r="L52" s="33" t="str"/>
      <x:c r="M52" s="34" t="str">
        <x:v>09.08.2026 09:01 (Asia/Jerusalem)</x:v>
      </x:c>
    </x:row>
    <x:row r="53">
      <x:c r="A53" s="32" t="str">
        <x:v>CWC</x:v>
      </x:c>
      <x:c r="B53" s="33" t="n">
        <x:v>11</x:v>
      </x:c>
      <x:c r="C53" s="33" t="str">
        <x:v>V500</x:v>
      </x:c>
      <x:c r="D53" s="33" t="str">
        <x:v>שואב אלחוטי V500 עם תחנת עגינה וניקוי עצמי אפור יו וואנט UWANT ₪829</x:v>
      </x:c>
      <x:c r="E53" s="39" t="n">
        <x:v>828</x:v>
      </x:c>
      <x:c r="F53" s="39"/>
      <x:c r="G53" s="39"/>
      <x:c r="H53" s="33" t="str">
        <x:v>במלאי</x:v>
      </x:c>
      <x:c r="I53" s="33" t="str">
        <x:v>מכשיר</x:v>
      </x:c>
      <x:c r="J53" s="33" t="e">
        <x:f>HYPERLINK("https://www.cwc.co.il/product/%d7%a9%d7%95%d7%90%d7%91-%d7%a9%d7%95%d7%98%d7%a3-%d7%a2%d7%95%d7%9e%d7%93-v500-%d7%a2%d7%9d-%d7%aa%d7%97%d7%aa-%d7%a2%d7%92%d7%99%d7%a0%d7%94-%d7%95%d7%a0%d7%99%d7%a7%d7%95%d7%99-%d7%a2%d7%a6%d7%9e/","פתח דף מוצר")</x:f>
        <x:v>HYPERLINK is not implemented. linkLocation=https://www.cwc.co.il/product/%d7%a9%d7%95%d7%90%d7%91-%d7%a9%d7%95%d7%98%d7%a3-%d7%a2%d7%95%d7%9e%d7%93-v500-%d7%a2%d7%9d-%d7%aa%d7%97%d7%aa-%d7%a2%d7%92%d7%99%d7%a0%d7%94-%d7%95%d7%a0%d7%99%d7%a7%d7%95%d7%99-%d7%a2%d7%a6%d7%9e/, friendlyName=פתח דף מוצר</x:v>
      </x:c>
      <x:c r="K53" s="33" t="str">
        <x:v>דף מוצר חי 09.08.2026</x:v>
      </x:c>
      <x:c r="L53" s="33" t="str"/>
      <x:c r="M53" s="34" t="str">
        <x:v>09.08.2026 09:01 (Asia/Jerusalem)</x:v>
      </x:c>
    </x:row>
    <x:row r="54">
      <x:c r="A54" s="32" t="str">
        <x:v>CWC</x:v>
      </x:c>
      <x:c r="B54" s="33" t="n">
        <x:v>12</x:v>
      </x:c>
      <x:c r="C54" s="33" t="str">
        <x:v>V500</x:v>
      </x:c>
      <x:c r="D54" s="33" t="str">
        <x:v>שואב אבק אלחוטי V500 עם תחנת עגינה וניקוי עצמי לבן יו וואנט UWANT ₪827</x:v>
      </x:c>
      <x:c r="E54" s="39" t="n">
        <x:v>828</x:v>
      </x:c>
      <x:c r="F54" s="39"/>
      <x:c r="G54" s="39"/>
      <x:c r="H54" s="33" t="str">
        <x:v>במלאי</x:v>
      </x:c>
      <x:c r="I54" s="33" t="str">
        <x:v>מכשיר</x:v>
      </x:c>
      <x:c r="J54" s="33" t="e">
        <x:f>HYPERLINK("https://www.cwc.co.il/product/%d7%a9%d7%95%d7%90%d7%91-%d7%a9%d7%95%d7%98%d7%a3-%d7%a2%d7%95%d7%9e%d7%93-v500-%d7%a2%d7%9d-%d7%aa%d7%97%d7%aa-%d7%a2%d7%92%d7%99%d7%a0%d7%94-%d7%95%d7%a0%d7%99%d7%a7%d7%95%d7%99-%d7%a2%d7%a6%d7%9e-2/","פתח דף מוצר")</x:f>
        <x:v>HYPERLINK is not implemented. linkLocation=https://www.cwc.co.il/product/%d7%a9%d7%95%d7%90%d7%91-%d7%a9%d7%95%d7%98%d7%a3-%d7%a2%d7%95%d7%9e%d7%93-v500-%d7%a2%d7%9d-%d7%aa%d7%97%d7%aa-%d7%a2%d7%92%d7%99%d7%a0%d7%94-%d7%95%d7%a0%d7%99%d7%a7%d7%95%d7%99-%d7%a2%d7%a6%d7%9e-2/, friendlyName=פתח דף מוצר</x:v>
      </x:c>
      <x:c r="K54" s="33" t="str">
        <x:v>דף מוצר חי 09.08.2026</x:v>
      </x:c>
      <x:c r="L54" s="33" t="str"/>
      <x:c r="M54" s="34" t="str">
        <x:v>09.08.2026 09:01 (Asia/Jerusalem)</x:v>
      </x:c>
    </x:row>
    <x:row r="55">
      <x:c r="A55" s="32" t="str">
        <x:v>CWC</x:v>
      </x:c>
      <x:c r="B55" s="33" t="n">
        <x:v>13</x:v>
      </x:c>
      <x:c r="C55" s="33" t="str">
        <x:v>V600</x:v>
      </x:c>
      <x:c r="D55" s="33" t="str">
        <x:v>שואב אבק אלחוטי V600 עם תחנת עגינה וניקוי עצמי אפור יו וואנט UWANT ₪1357</x:v>
      </x:c>
      <x:c r="E55" s="39" t="n">
        <x:v>1475</x:v>
      </x:c>
      <x:c r="F55" s="39"/>
      <x:c r="G55" s="39"/>
      <x:c r="H55" s="33" t="str">
        <x:v>במלאי</x:v>
      </x:c>
      <x:c r="I55" s="33" t="str">
        <x:v>מכשיר</x:v>
      </x:c>
      <x:c r="J55" s="33" t="e">
        <x:f>HYPERLINK("https://www.cwc.co.il/product/%d7%a9%d7%95%d7%90%d7%91-%d7%a9%d7%95%d7%98%d7%a3-%d7%a2%d7%95%d7%9e%d7%93-v600-%d7%a2%d7%9d-%d7%aa%d7%97%d7%aa-%d7%a2%d7%92%d7%99%d7%a0%d7%94-%d7%95%d7%a0%d7%99%d7%a7%d7%95%d7%99-%d7%a2%d7%a6%d7%9e/","פתח דף מוצר")</x:f>
        <x:v>HYPERLINK is not implemented. linkLocation=https://www.cwc.co.il/product/%d7%a9%d7%95%d7%90%d7%91-%d7%a9%d7%95%d7%98%d7%a3-%d7%a2%d7%95%d7%9e%d7%93-v600-%d7%a2%d7%9d-%d7%aa%d7%97%d7%aa-%d7%a2%d7%92%d7%99%d7%a0%d7%94-%d7%95%d7%a0%d7%99%d7%a7%d7%95%d7%99-%d7%a2%d7%a6%d7%9e/, friendlyName=פתח דף מוצר</x:v>
      </x:c>
      <x:c r="K55" s="33" t="str">
        <x:v>דף מוצר חי 09.08.2026</x:v>
      </x:c>
      <x:c r="L55" s="33" t="str"/>
      <x:c r="M55" s="34" t="str">
        <x:v>09.08.2026 09:01 (Asia/Jerusalem)</x:v>
      </x:c>
    </x:row>
    <x:row r="56">
      <x:c r="A56" s="32" t="str">
        <x:v>CWC</x:v>
      </x:c>
      <x:c r="B56" s="33" t="n">
        <x:v>14</x:v>
      </x:c>
      <x:c r="C56" s="33" t="str">
        <x:v>V800</x:v>
      </x:c>
      <x:c r="D56" s="33" t="str">
        <x:v>שואב אלחוטי V800 עם עמדת ריקון יו וואנט UWANT ₪2327</x:v>
      </x:c>
      <x:c r="E56" s="39" t="n">
        <x:v>2592</x:v>
      </x:c>
      <x:c r="F56" s="39"/>
      <x:c r="G56" s="39"/>
      <x:c r="H56" s="33" t="str">
        <x:v>במלאי</x:v>
      </x:c>
      <x:c r="I56" s="33" t="str">
        <x:v>מכשיר</x:v>
      </x:c>
      <x:c r="J56" s="33" t="e">
        <x:f>HYPERLINK("https://www.cwc.co.il/product/%d7%a9%d7%95%d7%90%d7%91-%d7%90%d7%9c%d7%97%d7%95%d7%98%d7%99-v800-%d7%a2%d7%9d-%d7%a2%d7%9e%d7%93%d7%aa-%d7%a8%d7%99%d7%a7%d7%95%d7%9f-%d7%99%d7%95-%d7%95%d7%95%d7%90%d7%a0%d7%98-uwant/","פתח דף מוצר")</x:f>
        <x:v>HYPERLINK is not implemented. linkLocation=https://www.cwc.co.il/product/%d7%a9%d7%95%d7%90%d7%91-%d7%90%d7%9c%d7%97%d7%95%d7%98%d7%99-v800-%d7%a2%d7%9d-%d7%a2%d7%9e%d7%93%d7%aa-%d7%a8%d7%99%d7%a7%d7%95%d7%9f-%d7%99%d7%95-%d7%95%d7%95%d7%90%d7%a0%d7%98-uwant/, friendlyName=פתח דף מוצר</x:v>
      </x:c>
      <x:c r="K56" s="33" t="str">
        <x:v>דף מוצר חי 09.08.2026</x:v>
      </x:c>
      <x:c r="L56" s="33" t="str"/>
      <x:c r="M56" s="34" t="str">
        <x:v>09.08.2026 09:01 (Asia/Jerusalem)</x:v>
      </x:c>
    </x:row>
    <x:row r="57">
      <x:c r="A57" s="32" t="str">
        <x:v>CWC</x:v>
      </x:c>
      <x:c r="B57" s="33" t="n">
        <x:v>15</x:v>
      </x:c>
      <x:c r="C57" s="33" t="str">
        <x:v>Y100</x:v>
      </x:c>
      <x:c r="D57" s="33" t="str">
        <x:v>מכשיר לניקוי כתמים מספות Y100 יו וואנט UWANT ₪490</x:v>
      </x:c>
      <x:c r="E57" s="39" t="n">
        <x:v>490</x:v>
      </x:c>
      <x:c r="F57" s="39"/>
      <x:c r="G57" s="39"/>
      <x:c r="H57" s="33" t="str">
        <x:v>במלאי</x:v>
      </x:c>
      <x:c r="I57" s="33" t="str">
        <x:v>מכשיר</x:v>
      </x:c>
      <x:c r="J57" s="33" t="e">
        <x:f>HYPERLINK("https://www.cwc.co.il/product/%d7%9e%d7%9b%d7%a9%d7%99%d7%a8-%d7%9c%d7%a0%d7%99%d7%a7%d7%95%d7%99-%d7%9b%d7%aa%d7%9e%d7%99%d7%9d-%d7%9e%d7%a1%d7%a4%d7%95%d7%aa-y100-%d7%99%d7%95-%d7%95%d7%95%d7%90%d7%a0%d7%98-uwant/","פתח דף מוצר")</x:f>
        <x:v>HYPERLINK is not implemented. linkLocation=https://www.cwc.co.il/product/%d7%9e%d7%9b%d7%a9%d7%99%d7%a8-%d7%9c%d7%a0%d7%99%d7%a7%d7%95%d7%99-%d7%9b%d7%aa%d7%9e%d7%99%d7%9d-%d7%9e%d7%a1%d7%a4%d7%95%d7%aa-y100-%d7%99%d7%95-%d7%95%d7%95%d7%90%d7%a0%d7%98-uwant/, friendlyName=פתח דף מוצר</x:v>
      </x:c>
      <x:c r="K57" s="33" t="str">
        <x:v>דף מוצר חי 09.08.2026</x:v>
      </x:c>
      <x:c r="L57" s="33" t="str"/>
      <x:c r="M57" s="34" t="str">
        <x:v>09.08.2026 09:01 (Asia/Jerusalem)</x:v>
      </x:c>
    </x:row>
    <x:row r="58">
      <x:c r="A58" s="32" t="str">
        <x:v>CWC</x:v>
      </x:c>
      <x:c r="B58" s="33" t="n">
        <x:v>16</x:v>
      </x:c>
      <x:c r="C58" s="33" t="str">
        <x:v>Y100 Steam</x:v>
      </x:c>
      <x:c r="D58" s="33" t="str">
        <x:v>מכשיר לניקוי כתמים מספות עם קיטור Y100 STEAM יו וואנט UWANT ₪990</x:v>
      </x:c>
      <x:c r="E58" s="39" t="n">
        <x:v>990</x:v>
      </x:c>
      <x:c r="F58" s="39"/>
      <x:c r="G58" s="39"/>
      <x:c r="H58" s="33" t="str">
        <x:v>במלאי</x:v>
      </x:c>
      <x:c r="I58" s="33" t="str">
        <x:v>מכשיר</x:v>
      </x:c>
      <x:c r="J58" s="33" t="e">
        <x:f>HYPERLINK("https://www.cwc.co.il/product/%d7%9e%d7%9b%d7%a9%d7%99%d7%a8-%d7%9c%d7%a0%d7%99%d7%a7%d7%95%d7%99-%d7%9b%d7%aa%d7%9e%d7%99%d7%9d-%d7%9e%d7%a1%d7%a4%d7%95%d7%aa-%d7%a2%d7%9d-%d7%a7%d7%99%d7%98%d7%95%d7%a8-y100-steam-%d7%99%d7%95/","פתח דף מוצר")</x:f>
        <x:v>HYPERLINK is not implemented. linkLocation=https://www.cwc.co.il/product/%d7%9e%d7%9b%d7%a9%d7%99%d7%a8-%d7%9c%d7%a0%d7%99%d7%a7%d7%95%d7%99-%d7%9b%d7%aa%d7%9e%d7%99%d7%9d-%d7%9e%d7%a1%d7%a4%d7%95%d7%aa-%d7%a2%d7%9d-%d7%a7%d7%99%d7%98%d7%95%d7%a8-y100-steam-%d7%99%d7%95/, friendlyName=פתח דף מוצר</x:v>
      </x:c>
      <x:c r="K58" s="33" t="str">
        <x:v>דף מוצר חי 09.08.2026</x:v>
      </x:c>
      <x:c r="L58" s="33" t="str"/>
      <x:c r="M58" s="34" t="str">
        <x:v>09.08.2026 09:01 (Asia/Jerusalem)</x:v>
      </x:c>
    </x:row>
    <x:row r="59">
      <x:c r="A59" s="32" t="str">
        <x:v>CWC</x:v>
      </x:c>
      <x:c r="B59" s="33" t="n">
        <x:v>17</x:v>
      </x:c>
      <x:c r="C59" s="33" t="str">
        <x:v>Y200</x:v>
      </x:c>
      <x:c r="D59" s="33" t="str">
        <x:v>מכשיר לניקוי כתמים מספות Y200 לבן יו וואנט UWANT ₪459</x:v>
      </x:c>
      <x:c r="E59" s="39" t="n">
        <x:v>459</x:v>
      </x:c>
      <x:c r="F59" s="39"/>
      <x:c r="G59" s="39"/>
      <x:c r="H59" s="33" t="str">
        <x:v>במלאי</x:v>
      </x:c>
      <x:c r="I59" s="33" t="str">
        <x:v>מכשיר</x:v>
      </x:c>
      <x:c r="J59" s="33" t="e">
        <x:f>HYPERLINK("https://www.cwc.co.il/product/%d7%9e%d7%9b%d7%a9%d7%99%d7%a8-%d7%9c%d7%a0%d7%99%d7%a7%d7%95%d7%99-%d7%9b%d7%aa%d7%9e%d7%99%d7%9d-%d7%9e%d7%a1%d7%a4%d7%95%d7%aa-y200-%d7%9c%d7%91%d7%9f-%d7%99%d7%95-%d7%95%d7%95%d7%90%d7%a0%d7%98-uw/","פתח דף מוצר")</x:f>
        <x:v>HYPERLINK is not implemented. linkLocation=https://www.cwc.co.il/product/%d7%9e%d7%9b%d7%a9%d7%99%d7%a8-%d7%9c%d7%a0%d7%99%d7%a7%d7%95%d7%99-%d7%9b%d7%aa%d7%9e%d7%99%d7%9d-%d7%9e%d7%a1%d7%a4%d7%95%d7%aa-y200-%d7%9c%d7%91%d7%9f-%d7%99%d7%95-%d7%95%d7%95%d7%90%d7%a0%d7%98-uw/, friendlyName=פתח דף מוצר</x:v>
      </x:c>
      <x:c r="K59" s="33" t="str">
        <x:v>דף מוצר חי 09.08.2026</x:v>
      </x:c>
      <x:c r="L59" s="33" t="str"/>
      <x:c r="M59" s="34" t="str">
        <x:v>09.08.2026 09:01 (Asia/Jerusalem)</x:v>
      </x:c>
    </x:row>
    <x:row r="60">
      <x:c r="A60" s="32" t="str">
        <x:v>CWC</x:v>
      </x:c>
      <x:c r="B60" s="33" t="n">
        <x:v>18</x:v>
      </x:c>
      <x:c r="C60" s="33" t="str">
        <x:v>Y200 Steam</x:v>
      </x:c>
      <x:c r="D60" s="33" t="str">
        <x:v>מכשיר לניקוי כתמים מספות עם קיטור Y200 STEAM יו וואנט UWANT ₪999</x:v>
      </x:c>
      <x:c r="E60" s="39" t="n">
        <x:v>999</x:v>
      </x:c>
      <x:c r="F60" s="39"/>
      <x:c r="G60" s="39"/>
      <x:c r="H60" s="33" t="str">
        <x:v>במלאי</x:v>
      </x:c>
      <x:c r="I60" s="33" t="str">
        <x:v>מכשיר</x:v>
      </x:c>
      <x:c r="J60" s="33" t="e">
        <x:f>HYPERLINK("https://www.cwc.co.il/product/%d7%9e%d7%9b%d7%a9%d7%99%d7%a8-%d7%9c%d7%a0%d7%99%d7%a7%d7%95%d7%99-%d7%9b%d7%aa%d7%9e%d7%99%d7%9d-%d7%9e%d7%a1%d7%a4%d7%95%d7%aa-%d7%a2%d7%9d-%d7%a7%d7%99%d7%98%d7%95%d7%a8-y200steam-%d7%99%d7%95/","פתח דף מוצר")</x:f>
        <x:v>HYPERLINK is not implemented. linkLocation=https://www.cwc.co.il/product/%d7%9e%d7%9b%d7%a9%d7%99%d7%a8-%d7%9c%d7%a0%d7%99%d7%a7%d7%95%d7%99-%d7%9b%d7%aa%d7%9e%d7%99%d7%9d-%d7%9e%d7%a1%d7%a4%d7%95%d7%aa-%d7%a2%d7%9d-%d7%a7%d7%99%d7%98%d7%95%d7%a8-y200steam-%d7%99%d7%95/, friendlyName=פתח דף מוצר</x:v>
      </x:c>
      <x:c r="K60" s="33" t="str">
        <x:v>דף מוצר חי 09.08.2026</x:v>
      </x:c>
      <x:c r="L60" s="33" t="str"/>
      <x:c r="M60" s="34" t="str">
        <x:v>09.08.2026 09:01 (Asia/Jerusalem)</x:v>
      </x:c>
    </x:row>
    <x:row r="61">
      <x:c r="A61" s="32" t="str">
        <x:v>LastPrice</x:v>
      </x:c>
      <x:c r="B61" s="33" t="n">
        <x:v>1</x:v>
      </x:c>
      <x:c r="C61" s="33" t="str">
        <x:v>B200</x:v>
      </x:c>
      <x:c r="D61" s="33" t="str">
        <x:v>מגהץ קיטור אנכי עבור מכונת ניקוי UWANT B200 B200 Ironing אפור מחיר ₪47</x:v>
      </x:c>
      <x:c r="E61" s="39" t="n">
        <x:v>47</x:v>
      </x:c>
      <x:c r="F61" s="39"/>
      <x:c r="G61" s="39"/>
      <x:c r="H61" s="33" t="str">
        <x:v>במלאי</x:v>
      </x:c>
      <x:c r="I61" s="33" t="str">
        <x:v>אביזר</x:v>
      </x:c>
      <x:c r="J61" s="33" t="e">
        <x:f>HYPERLINK("https://www.lastprice.co.il/p/100039734/%D7%9E%D7%92%D7%94%D7%A5%2D%D7%A7%D7%99%D7%98%D7%95%D7%A8%2D%D7%90%D7%A0%D7%9B%D7%99%2D%D7%A2%D7%91%D7%95%D7%A8%2D%D7%9E%D7%9B%D7%95%D7%A0%D7%AA%2D%D7%A0%D7%99%D7%A7%D7%95%D7%99%2DUWANT%2DB200/UWANT-B200%2DIroning%2D%D7%90%D7%A4%D7%95%D7%A8","פתח דף מוצר")</x:f>
        <x:v>HYPERLINK is not implemented. linkLocation=https://www.lastprice.co.il/p/100039734/%D7%9E%D7%92%D7%94%D7%A5%2D%D7%A7%D7%99%D7%98%D7%95%D7%A8%2D%D7%90%D7%A0%D7%9B%D7%99%2D%D7%A2%D7%91%D7%95%D7%A8%2D%D7%9E%D7%9B%D7%95%D7%A0%D7%AA%2D%D7%A0%D7%99%D7%A7%D7%95%D7%99%2DUWANT%2DB200/UWANT-B200%2DIroning%2D%D7%90%D7%A4%D7%95%D7%A8, friendlyName=פתח דף מוצר</x:v>
      </x:c>
      <x:c r="K61" s="33" t="str">
        <x:v>דף מוצר חי 09.08.2026</x:v>
      </x:c>
      <x:c r="L61" s="33" t="str">
        <x:v>מחיר קנייה רגיל; הצעות לא נכללו</x:v>
      </x:c>
      <x:c r="M61" s="34" t="str">
        <x:v>09.08.2026 09:01 (Asia/Jerusalem)</x:v>
      </x:c>
    </x:row>
    <x:row r="62">
      <x:c r="A62" s="32" t="str">
        <x:v>LastPrice</x:v>
      </x:c>
      <x:c r="B62" s="33" t="n">
        <x:v>2</x:v>
      </x:c>
      <x:c r="C62" s="33" t="str">
        <x:v>D500</x:v>
      </x:c>
      <x:c r="D62" s="33" t="str">
        <x:v>שואב שוטף ידני אלחוטי Uwant D500 מחיר ₪890</x:v>
      </x:c>
      <x:c r="E62" s="39" t="n">
        <x:v>890</x:v>
      </x:c>
      <x:c r="F62" s="39"/>
      <x:c r="G62" s="39"/>
      <x:c r="H62" s="33" t="str">
        <x:v>במלאי</x:v>
      </x:c>
      <x:c r="I62" s="33" t="str">
        <x:v>מכשיר</x:v>
      </x:c>
      <x:c r="J62" s="33" t="e">
        <x:f>HYPERLINK("https://www.lastprice.co.il/p/23478524/%D7%A9%D7%95%D7%90%D7%91%2D%D7%A9%D7%95%D7%98%D7%A3%2D%D7%99%D7%93%D7%A0%D7%99%2D%D7%90%D7%9C%D7%97%D7%95%D7%98%D7%99%2DUwant/UWANT-D500","פתח דף מוצר")</x:f>
        <x:v>HYPERLINK is not implemented. linkLocation=https://www.lastprice.co.il/p/23478524/%D7%A9%D7%95%D7%90%D7%91%2D%D7%A9%D7%95%D7%98%D7%A3%2D%D7%99%D7%93%D7%A0%D7%99%2D%D7%90%D7%9C%D7%97%D7%95%D7%98%D7%99%2DUwant/UWANT-D500, friendlyName=פתח דף מוצר</x:v>
      </x:c>
      <x:c r="K62" s="33" t="str">
        <x:v>דף מוצר חי 09.08.2026</x:v>
      </x:c>
      <x:c r="L62" s="33" t="str">
        <x:v>מחיר קנייה רגיל; הצעות לא נכללו</x:v>
      </x:c>
      <x:c r="M62" s="34" t="str">
        <x:v>09.08.2026 09:01 (Asia/Jerusalem)</x:v>
      </x:c>
    </x:row>
    <x:row r="63">
      <x:c r="A63" s="32" t="str">
        <x:v>LastPrice</x:v>
      </x:c>
      <x:c r="B63" s="33" t="n">
        <x:v>3</x:v>
      </x:c>
      <x:c r="C63" s="33" t="str">
        <x:v>D600</x:v>
      </x:c>
      <x:c r="D63" s="33" t="str">
        <x:v>שואב שוטף ידני אלחוטי Uwant D600 מחיר ₪1,449</x:v>
      </x:c>
      <x:c r="E63" s="39" t="n">
        <x:v>1449</x:v>
      </x:c>
      <x:c r="F63" s="39"/>
      <x:c r="G63" s="39"/>
      <x:c r="H63" s="33" t="str">
        <x:v>במלאי</x:v>
      </x:c>
      <x:c r="I63" s="33" t="str">
        <x:v>מכשיר</x:v>
      </x:c>
      <x:c r="J63" s="33" t="e">
        <x:f>HYPERLINK("https://www.lastprice.co.il/p/100059182/%D7%A9%D7%95%D7%90%D7%91%2D%D7%A9%D7%95%D7%98%D7%A3%2D%D7%99%D7%93%D7%A0%D7%99%2D%D7%90%D7%9C%D7%97%D7%95%D7%98%D7%99%2DUwant/UWANT-D600","פתח דף מוצר")</x:f>
        <x:v>HYPERLINK is not implemented. linkLocation=https://www.lastprice.co.il/p/100059182/%D7%A9%D7%95%D7%90%D7%91%2D%D7%A9%D7%95%D7%98%D7%A3%2D%D7%99%D7%93%D7%A0%D7%99%2D%D7%90%D7%9C%D7%97%D7%95%D7%98%D7%99%2DUwant/UWANT-D600, friendlyName=פתח דף מוצר</x:v>
      </x:c>
      <x:c r="K63" s="33" t="str">
        <x:v>דף מוצר חי 09.08.2026</x:v>
      </x:c>
      <x:c r="L63" s="33" t="str">
        <x:v>מחיר קנייה רגיל; הצעות לא נכללו</x:v>
      </x:c>
      <x:c r="M63" s="34" t="str">
        <x:v>09.08.2026 09:01 (Asia/Jerusalem)</x:v>
      </x:c>
    </x:row>
    <x:row r="64">
      <x:c r="A64" s="32" t="str">
        <x:v>LastPrice</x:v>
      </x:c>
      <x:c r="B64" s="33" t="n">
        <x:v>4</x:v>
      </x:c>
      <x:c r="C64" s="33" t="str">
        <x:v>D700</x:v>
      </x:c>
      <x:c r="D64" s="33" t="str">
        <x:v>שואב שוטף ידני אלחוטי Uwant D700 Pro מחיר ₪1,888</x:v>
      </x:c>
      <x:c r="E64" s="39" t="n">
        <x:v>1888</x:v>
      </x:c>
      <x:c r="F64" s="39"/>
      <x:c r="G64" s="39"/>
      <x:c r="H64" s="33" t="str">
        <x:v>במלאי</x:v>
      </x:c>
      <x:c r="I64" s="33" t="str">
        <x:v>מכשיר</x:v>
      </x:c>
      <x:c r="J64" s="33" t="e">
        <x:f>HYPERLINK("https://www.lastprice.co.il/p/100059185/%D7%A9%D7%95%D7%90%D7%91%2D%D7%A9%D7%95%D7%98%D7%A3%2D%D7%99%D7%93%D7%A0%D7%99%2D%D7%90%D7%9C%D7%97%D7%95%D7%98%D7%99%2DUwant/UWANT-D700%2DPro","פתח דף מוצר")</x:f>
        <x:v>HYPERLINK is not implemented. linkLocation=https://www.lastprice.co.il/p/100059185/%D7%A9%D7%95%D7%90%D7%91%2D%D7%A9%D7%95%D7%98%D7%A3%2D%D7%99%D7%93%D7%A0%D7%99%2D%D7%90%D7%9C%D7%97%D7%95%D7%98%D7%99%2DUwant/UWANT-D700%2DPro, friendlyName=פתח דף מוצר</x:v>
      </x:c>
      <x:c r="K64" s="33" t="str">
        <x:v>דף מוצר חי 09.08.2026</x:v>
      </x:c>
      <x:c r="L64" s="33" t="str">
        <x:v>מחיר קנייה רגיל; הצעות לא נכללו</x:v>
      </x:c>
      <x:c r="M64" s="34" t="str">
        <x:v>09.08.2026 09:01 (Asia/Jerusalem)</x:v>
      </x:c>
    </x:row>
    <x:row r="65">
      <x:c r="A65" s="32" t="str">
        <x:v>LastPrice</x:v>
      </x:c>
      <x:c r="B65" s="33" t="n">
        <x:v>5</x:v>
      </x:c>
      <x:c r="C65" s="33" t="str">
        <x:v>DX800</x:v>
      </x:c>
      <x:c r="D65" s="33" t="str">
        <x:v>שואב שוטף אלחוטי כולל ניקוי בקיטור וריקון וניקוי עצמי UWANT DX800 Steam מחיר ₪2,750</x:v>
      </x:c>
      <x:c r="E65" s="39" t="n">
        <x:v>2750</x:v>
      </x:c>
      <x:c r="F65" s="39"/>
      <x:c r="G65" s="39"/>
      <x:c r="H65" s="33" t="str">
        <x:v>במלאי</x:v>
      </x:c>
      <x:c r="I65" s="33" t="str">
        <x:v>מכשיר</x:v>
      </x:c>
      <x:c r="J65" s="33" t="e">
        <x:f>HYPERLINK("https://www.lastprice.co.il/p/10161721/%D7%A9%D7%95%D7%90%D7%91%2D%D7%A9%D7%95%D7%98%D7%A3%2D%D7%90%D7%9C%D7%97%D7%95%D7%98%D7%99%2D%D7%9B%D7%95%D7%9C%D7%9C%2D%D7%A0%D7%99%D7%A7%D7%95%D7%99%2D%D7%91%D7%A7%D7%99%D7%98%D7%95%D7%A8%2D%D7%95%D7%A8%D7%99%D7%A7%D7%95%D7%9F%2D%D7%95%D7%A0%D7%99%D7%A7%D7%95%D7%99%2D%D7%A2%D7%A6%D7%9E%D7%99%2DUWANT/UWANT-DX800%2DSteam","פתח דף מוצר")</x:f>
        <x:v>HYPERLINK is not implemented. linkLocation=https://www.lastprice.co.il/p/10161721/%D7%A9%D7%95%D7%90%D7%91%2D%D7%A9%D7%95%D7%98%D7%A3%2D%D7%90%D7%9C%D7%97%D7%95%D7%98%D7%99%2D%D7%9B%D7%95%D7%9C%D7%9C%2D%D7%A0%D7%99%D7%A7%D7%95%D7%99%2D%D7%91%D7%A7%D7%99%D7%98%D7%95%D7%A8%2D%D7%95%D7%A8%D7%99%D7%A7%D7%95%D7%9F%2D%D7%95%D7%A0%D7%99%D7%A7%D7%95%D7%99%2D%D7%A2%D7%A6%D7%9E%D7%99%2DUWANT/UWANT-DX800%2DSteam, friendlyName=פתח דף מוצר</x:v>
      </x:c>
      <x:c r="K65" s="33" t="str">
        <x:v>דף מוצר חי 09.08.2026</x:v>
      </x:c>
      <x:c r="L65" s="33" t="str">
        <x:v>מחיר קנייה רגיל; הצעות לא נכללו</x:v>
      </x:c>
      <x:c r="M65" s="34" t="str">
        <x:v>09.08.2026 09:01 (Asia/Jerusalem)</x:v>
      </x:c>
    </x:row>
    <x:row r="66">
      <x:c r="A66" s="32" t="str">
        <x:v>LastPrice</x:v>
      </x:c>
      <x:c r="B66" s="33" t="n">
        <x:v>6</x:v>
      </x:c>
      <x:c r="C66" s="33" t="str">
        <x:v>M400</x:v>
      </x:c>
      <x:c r="D66" s="33" t="str">
        <x:v>שואב מזרנים עוצמתי כולל טכנולוגיית Dual StaticHair משמיד קרדית האבק UWANT M400 מחיר ₪379</x:v>
      </x:c>
      <x:c r="E66" s="39" t="n">
        <x:v>379</x:v>
      </x:c>
      <x:c r="F66" s="39"/>
      <x:c r="G66" s="39"/>
      <x:c r="H66" s="33" t="str">
        <x:v>במלאי</x:v>
      </x:c>
      <x:c r="I66" s="33" t="str">
        <x:v>מכשיר</x:v>
      </x:c>
      <x:c r="J66" s="33" t="e">
        <x:f>HYPERLINK("https://www.lastprice.co.il/p/100059190/%D7%A9%D7%95%D7%90%D7%91%2D%D7%9E%D7%96%D7%A8%D7%A0%D7%99%D7%9D%2D%D7%A2%D7%95%D7%A6%D7%9E%D7%AA%D7%99%2D%D7%9B%D7%95%D7%9C%D7%9C%2D%D7%98%D7%9B%D7%A0%D7%95%D7%9C%D7%95%D7%92%D7%99%D7%99%D7%AA%2DDual%2DStaticHair%2D%D7%9E%D7%A9%D7%9E%D7%99%D7%93%2D%D7%A7%D7%A8%D7%93%D7%99%D7%AA%2D%D7%94%D7%90%D7%91%D7%A7%2DUWANT/UWANT-M400","פתח דף מוצר")</x:f>
        <x:v>HYPERLINK is not implemented. linkLocation=https://www.lastprice.co.il/p/100059190/%D7%A9%D7%95%D7%90%D7%91%2D%D7%9E%D7%96%D7%A8%D7%A0%D7%99%D7%9D%2D%D7%A2%D7%95%D7%A6%D7%9E%D7%AA%D7%99%2D%D7%9B%D7%95%D7%9C%D7%9C%2D%D7%98%D7%9B%D7%A0%D7%95%D7%9C%D7%95%D7%92%D7%99%D7%99%D7%AA%2DDual%2DStaticHair%2D%D7%9E%D7%A9%D7%9E%D7%99%D7%93%2D%D7%A7%D7%A8%D7%93%D7%99%D7%AA%2D%D7%94%D7%90%D7%91%D7%A7%2DUWANT/UWANT-M400, friendlyName=פתח דף מוצר</x:v>
      </x:c>
      <x:c r="K66" s="33" t="str">
        <x:v>דף מוצר חי 09.08.2026</x:v>
      </x:c>
      <x:c r="L66" s="33" t="str">
        <x:v>מחיר קנייה רגיל; הצעות לא נכללו</x:v>
      </x:c>
      <x:c r="M66" s="34" t="str">
        <x:v>09.08.2026 09:01 (Asia/Jerusalem)</x:v>
      </x:c>
    </x:row>
    <x:row r="67">
      <x:c r="A67" s="32" t="str">
        <x:v>LastPrice</x:v>
      </x:c>
      <x:c r="B67" s="33" t="n">
        <x:v>7</x:v>
      </x:c>
      <x:c r="C67" s="33" t="str">
        <x:v>M500</x:v>
      </x:c>
      <x:c r="D67" s="33" t="str">
        <x:v>שואב מזרנים עוצמתי כולל טכנולוגיית UltraSonic משמיד קרדית האבק UWANT M500 מחיר ₪599</x:v>
      </x:c>
      <x:c r="E67" s="39" t="n">
        <x:v>599</x:v>
      </x:c>
      <x:c r="F67" s="39"/>
      <x:c r="G67" s="39"/>
      <x:c r="H67" s="33" t="str">
        <x:v>במלאי</x:v>
      </x:c>
      <x:c r="I67" s="33" t="str">
        <x:v>מכשיר</x:v>
      </x:c>
      <x:c r="J67" s="33" t="e">
        <x:f>HYPERLINK("https://www.lastprice.co.il/p/100069675/%D7%A9%D7%95%D7%90%D7%91%2D%D7%9E%D7%96%D7%A8%D7%A0%D7%99%D7%9D%2D%D7%A2%D7%95%D7%A6%D7%9E%D7%AA%D7%99%2D%D7%9B%D7%95%D7%9C%D7%9C%2D%D7%98%D7%9B%D7%A0%D7%95%D7%9C%D7%95%D7%92%D7%99%D7%99%D7%AA%2DUltraSonic%2D%D7%9E%D7%A9%D7%9E%D7%99%D7%93%2D%D7%A7%D7%A8%D7%93%D7%99%D7%AA%2D%D7%94%D7%90%D7%91%D7%A7%2DUWANT/UWANT-M500","פתח דף מוצר")</x:f>
        <x:v>HYPERLINK is not implemented. linkLocation=https://www.lastprice.co.il/p/100069675/%D7%A9%D7%95%D7%90%D7%91%2D%D7%9E%D7%96%D7%A8%D7%A0%D7%99%D7%9D%2D%D7%A2%D7%95%D7%A6%D7%9E%D7%AA%D7%99%2D%D7%9B%D7%95%D7%9C%D7%9C%2D%D7%98%D7%9B%D7%A0%D7%95%D7%9C%D7%95%D7%92%D7%99%D7%99%D7%AA%2DUltraSonic%2D%D7%9E%D7%A9%D7%9E%D7%99%D7%93%2D%D7%A7%D7%A8%D7%93%D7%99%D7%AA%2D%D7%94%D7%90%D7%91%D7%A7%2DUWANT/UWANT-M500, friendlyName=פתח דף מוצר</x:v>
      </x:c>
      <x:c r="K67" s="33" t="str">
        <x:v>דף מוצר חי 09.08.2026</x:v>
      </x:c>
      <x:c r="L67" s="33" t="str">
        <x:v>מחיר קנייה רגיל; הצעות לא נכללו</x:v>
      </x:c>
      <x:c r="M67" s="34" t="str">
        <x:v>09.08.2026 09:01 (Asia/Jerusalem)</x:v>
      </x:c>
    </x:row>
    <x:row r="68">
      <x:c r="A68" s="32" t="str">
        <x:v>LastPrice</x:v>
      </x:c>
      <x:c r="B68" s="33" t="n">
        <x:v>8</x:v>
      </x:c>
      <x:c r="C68" s="33" t="str">
        <x:v>M600</x:v>
      </x:c>
      <x:c r="D68" s="33" t="str">
        <x:v>שואב מזרנים עוצמתי כולל טכנולוגיית UltraSonic משמיד קרדית האבק UWANT M600 מחיר ₪699</x:v>
      </x:c>
      <x:c r="E68" s="39" t="n">
        <x:v>699</x:v>
      </x:c>
      <x:c r="F68" s="39"/>
      <x:c r="G68" s="39"/>
      <x:c r="H68" s="33" t="str">
        <x:v>במלאי</x:v>
      </x:c>
      <x:c r="I68" s="33" t="str">
        <x:v>מכשיר</x:v>
      </x:c>
      <x:c r="J68" s="33" t="e">
        <x:f>HYPERLINK("https://www.lastprice.co.il/p/27064970/%D7%A9%D7%95%D7%90%D7%91%2D%D7%9E%D7%96%D7%A8%D7%A0%D7%99%D7%9D%2D%D7%A2%D7%95%D7%A6%D7%9E%D7%AA%D7%99%2D%D7%9B%D7%95%D7%9C%D7%9C%2D%D7%98%D7%9B%D7%A0%D7%95%D7%9C%D7%95%D7%92%D7%99%D7%99%D7%AA%2DUltraSonic%2D%D7%9E%D7%A9%D7%9E%D7%99%D7%93%2D%D7%A7%D7%A8%D7%93%D7%99%D7%AA%2D%D7%94%D7%90%D7%91%D7%A7%2DUWANT/UWANT-M600","פתח דף מוצר")</x:f>
        <x:v>HYPERLINK is not implemented. linkLocation=https://www.lastprice.co.il/p/27064970/%D7%A9%D7%95%D7%90%D7%91%2D%D7%9E%D7%96%D7%A8%D7%A0%D7%99%D7%9D%2D%D7%A2%D7%95%D7%A6%D7%9E%D7%AA%D7%99%2D%D7%9B%D7%95%D7%9C%D7%9C%2D%D7%98%D7%9B%D7%A0%D7%95%D7%9C%D7%95%D7%92%D7%99%D7%99%D7%AA%2DUltraSonic%2D%D7%9E%D7%A9%D7%9E%D7%99%D7%93%2D%D7%A7%D7%A8%D7%93%D7%99%D7%AA%2D%D7%94%D7%90%D7%91%D7%A7%2DUWANT/UWANT-M600, friendlyName=פתח דף מוצר</x:v>
      </x:c>
      <x:c r="K68" s="33" t="str">
        <x:v>דף מוצר חי 09.08.2026</x:v>
      </x:c>
      <x:c r="L68" s="33" t="str">
        <x:v>מחיר קנייה רגיל; הצעות לא נכללו</x:v>
      </x:c>
      <x:c r="M68" s="34" t="str">
        <x:v>09.08.2026 09:01 (Asia/Jerusalem)</x:v>
      </x:c>
    </x:row>
    <x:row r="69">
      <x:c r="A69" s="32" t="str">
        <x:v>LastPrice</x:v>
      </x:c>
      <x:c r="B69" s="33" t="n">
        <x:v>9</x:v>
      </x:c>
      <x:c r="C69" s="33" t="str">
        <x:v>T300</x:v>
      </x:c>
      <x:c r="D69" s="33" t="str">
        <x:v>שואב אבק שוטף רובוטי כולל תחנת עגינה UWANT T300 מחיר ₪3,590</x:v>
      </x:c>
      <x:c r="E69" s="39" t="n">
        <x:v>3590</x:v>
      </x:c>
      <x:c r="F69" s="39"/>
      <x:c r="G69" s="39"/>
      <x:c r="H69" s="33" t="str">
        <x:v>במלאי</x:v>
      </x:c>
      <x:c r="I69" s="33" t="str">
        <x:v>מכשיר</x:v>
      </x:c>
      <x:c r="J69" s="33" t="e">
        <x:f>HYPERLINK("https://www.lastprice.co.il/p/16570870/%D7%A9%D7%95%D7%90%D7%91%2D%D7%90%D7%91%D7%A7%2D%D7%A9%D7%95%D7%98%D7%A3%2D%D7%A8%D7%95%D7%91%D7%95%D7%98%D7%99%2D%D7%9B%D7%95%D7%9C%D7%9C%2D%D7%AA%D7%97%D7%A0%D7%AA%2D%D7%A2%D7%92%D7%99%D7%A0%D7%94%2DUWANT/UWANT-T300","פתח דף מוצר")</x:f>
        <x:v>HYPERLINK is not implemented. linkLocation=https://www.lastprice.co.il/p/16570870/%D7%A9%D7%95%D7%90%D7%91%2D%D7%90%D7%91%D7%A7%2D%D7%A9%D7%95%D7%98%D7%A3%2D%D7%A8%D7%95%D7%91%D7%95%D7%98%D7%99%2D%D7%9B%D7%95%D7%9C%D7%9C%2D%D7%AA%D7%97%D7%A0%D7%AA%2D%D7%A2%D7%92%D7%99%D7%A0%D7%94%2DUWANT/UWANT-T300, friendlyName=פתח דף מוצר</x:v>
      </x:c>
      <x:c r="K69" s="33" t="str">
        <x:v>דף מוצר חי 09.08.2026</x:v>
      </x:c>
      <x:c r="L69" s="33" t="str">
        <x:v>מחיר קנייה רגיל; הצעות לא נכללו</x:v>
      </x:c>
      <x:c r="M69" s="34" t="str">
        <x:v>09.08.2026 09:01 (Asia/Jerusalem)</x:v>
      </x:c>
    </x:row>
    <x:row r="70">
      <x:c r="A70" s="32" t="str">
        <x:v>LastPrice</x:v>
      </x:c>
      <x:c r="B70" s="33" t="n">
        <x:v>10</x:v>
      </x:c>
      <x:c r="C70" s="33" t="str">
        <x:v>U300 V25</x:v>
      </x:c>
      <x:c r="D70" s="33" t="str">
        <x:v>שואב אבק רובוטי שוטף בטכנולוגיית AI כולל רולר מקרצף ועמדת ריקון אוטומטית UWANT U300 V25 מחיר ₪2,190</x:v>
      </x:c>
      <x:c r="E70" s="39" t="n">
        <x:v>1958</x:v>
      </x:c>
      <x:c r="F70" s="39"/>
      <x:c r="G70" s="39"/>
      <x:c r="H70" s="33" t="str">
        <x:v>במלאי</x:v>
      </x:c>
      <x:c r="I70" s="33" t="str">
        <x:v>מכשיר</x:v>
      </x:c>
      <x:c r="J70" s="33" t="e">
        <x:f>HYPERLINK("https://www.lastprice.co.il/p/100045762/%D7%A9%D7%95%D7%90%D7%91%2D%D7%90%D7%91%D7%A7%2D%D7%A8%D7%95%D7%91%D7%95%D7%98%D7%99%2D%D7%A9%D7%95%D7%98%D7%A3%2D%D7%91%D7%98%D7%9B%D7%A0%D7%95%D7%9C%D7%95%D7%92%D7%99%D7%99%D7%AA%2DAI%2D%D7%9B%D7%95%D7%9C%D7%9C%2D%D7%A8%D7%95%D7%9C%D7%A8%2D%D7%9E%D7%A7%D7%A8%D7%A6%D7%A3%2D%D7%95%D7%A2%D7%9E%D7%93%D7%AA%2D%D7%A8%D7%99%D7%A7%D7%95%D7%9F%2D%D7%90%D7%95%D7%98%D7%95%D7%9E%D7%98%D7%99%D7%AA%2DUWANT/UWANT-U300%2DV25","פתח דף מוצר")</x:f>
        <x:v>HYPERLINK is not implemented. linkLocation=https://www.lastprice.co.il/p/100045762/%D7%A9%D7%95%D7%90%D7%91%2D%D7%90%D7%91%D7%A7%2D%D7%A8%D7%95%D7%91%D7%95%D7%98%D7%99%2D%D7%A9%D7%95%D7%98%D7%A3%2D%D7%91%D7%98%D7%9B%D7%A0%D7%95%D7%9C%D7%95%D7%92%D7%99%D7%99%D7%AA%2DAI%2D%D7%9B%D7%95%D7%9C%D7%9C%2D%D7%A8%D7%95%D7%9C%D7%A8%2D%D7%9E%D7%A7%D7%A8%D7%A6%D7%A3%2D%D7%95%D7%A2%D7%9E%D7%93%D7%AA%2D%D7%A8%D7%99%D7%A7%D7%95%D7%9F%2D%D7%90%D7%95%D7%98%D7%95%D7%9E%D7%98%D7%99%D7%AA%2DUWANT/UWANT-U300%2DV25, friendlyName=פתח דף מוצר</x:v>
      </x:c>
      <x:c r="K70" s="33" t="str">
        <x:v>דף מוצר חי 09.08.2026</x:v>
      </x:c>
      <x:c r="L70" s="33" t="str">
        <x:v>מחיר קנייה רגיל; הצעות לא נכללו</x:v>
      </x:c>
      <x:c r="M70" s="34" t="str">
        <x:v>09.08.2026 09:01 (Asia/Jerusalem)</x:v>
      </x:c>
    </x:row>
    <x:row r="71">
      <x:c r="A71" s="32" t="str">
        <x:v>LastPrice</x:v>
      </x:c>
      <x:c r="B71" s="33" t="n">
        <x:v>11</x:v>
      </x:c>
      <x:c r="C71" s="33" t="str">
        <x:v>U400</x:v>
      </x:c>
      <x:c r="D71" s="33" t="str">
        <x:v>רובוט שואב שוטף כולל שטיפה במים חמים ומערכת מילוי וריקון היברידית UWANT U400 מחיר ₪4,324</x:v>
      </x:c>
      <x:c r="E71" s="39" t="n">
        <x:v>4321</x:v>
      </x:c>
      <x:c r="F71" s="39"/>
      <x:c r="G71" s="39"/>
      <x:c r="H71" s="33" t="str">
        <x:v>במלאי</x:v>
      </x:c>
      <x:c r="I71" s="33" t="str">
        <x:v>מכשיר</x:v>
      </x:c>
      <x:c r="J71" s="33" t="e">
        <x:f>HYPERLINK("https://www.lastprice.co.il/p/100067725/%D7%A8%D7%95%D7%91%D7%95%D7%98%2D%D7%A9%D7%95%D7%90%D7%91%2D%D7%A9%D7%95%D7%98%D7%A3%2D%D7%9B%D7%95%D7%9C%D7%9C%2D%D7%A9%D7%98%D7%99%D7%A4%D7%94%2D%D7%91%D7%9E%D7%99%D7%9D%2D%D7%97%D7%9E%D7%99%D7%9D%2D%D7%95%D7%9E%D7%A2%D7%A8%D7%9B%D7%AA%2D%D7%9E%D7%99%D7%9C%D7%95%D7%99%2D%D7%95%D7%A8%D7%99%D7%A7%D7%95%D7%9F%2D%D7%94%D7%99%D7%91%D7%A8%D7%99%D7%93%D7%99%D7%AA%2DUWANT/UWANT-U400","פתח דף מוצר")</x:f>
        <x:v>HYPERLINK is not implemented. linkLocation=https://www.lastprice.co.il/p/100067725/%D7%A8%D7%95%D7%91%D7%95%D7%98%2D%D7%A9%D7%95%D7%90%D7%91%2D%D7%A9%D7%95%D7%98%D7%A3%2D%D7%9B%D7%95%D7%9C%D7%9C%2D%D7%A9%D7%98%D7%99%D7%A4%D7%94%2D%D7%91%D7%9E%D7%99%D7%9D%2D%D7%97%D7%9E%D7%99%D7%9D%2D%D7%95%D7%9E%D7%A2%D7%A8%D7%9B%D7%AA%2D%D7%9E%D7%99%D7%9C%D7%95%D7%99%2D%D7%95%D7%A8%D7%99%D7%A7%D7%95%D7%9F%2D%D7%94%D7%99%D7%91%D7%A8%D7%99%D7%93%D7%99%D7%AA%2DUWANT/UWANT-U400, friendlyName=פתח דף מוצר</x:v>
      </x:c>
      <x:c r="K71" s="33" t="str">
        <x:v>דף מוצר חי 09.08.2026</x:v>
      </x:c>
      <x:c r="L71" s="33" t="str">
        <x:v>מחיר קנייה רגיל; הצעות לא נכללו</x:v>
      </x:c>
      <x:c r="M71" s="34" t="str">
        <x:v>09.08.2026 09:01 (Asia/Jerusalem)</x:v>
      </x:c>
    </x:row>
    <x:row r="72">
      <x:c r="A72" s="32" t="str">
        <x:v>LastPrice</x:v>
      </x:c>
      <x:c r="B72" s="33" t="n">
        <x:v>12</x:v>
      </x:c>
      <x:c r="C72" s="33" t="str">
        <x:v>V500</x:v>
      </x:c>
      <x:c r="D72" s="33" t="str">
        <x:v>שואב אבק ידני אלחוטי כולל עמדת ריקון אוטומטי Uwant V500 לבן מחיר ₪838</x:v>
      </x:c>
      <x:c r="E72" s="39" t="n">
        <x:v>838</x:v>
      </x:c>
      <x:c r="F72" s="39"/>
      <x:c r="G72" s="39"/>
      <x:c r="H72" s="33" t="str">
        <x:v>במלאי</x:v>
      </x:c>
      <x:c r="I72" s="33" t="str">
        <x:v>מכשיר</x:v>
      </x:c>
      <x:c r="J72" s="33" t="e">
        <x:f>HYPERLINK("https://www.lastprice.co.il/p/100059186/%D7%A9%D7%95%D7%90%D7%91%2D%D7%90%D7%91%D7%A7%2D%D7%99%D7%93%D7%A0%D7%99%2D%D7%90%D7%9C%D7%97%D7%95%D7%98%D7%99%2D%D7%9B%D7%95%D7%9C%D7%9C%2D%D7%A2%D7%9E%D7%93%D7%AA%2D%D7%A8%D7%99%D7%A7%D7%95%D7%9F%2D%D7%90%D7%95%D7%98%D7%95%D7%9E%D7%98%D7%99%2DUwant/UWANT-V500%2D%D7%9C%D7%91%D7%9F","פתח דף מוצר")</x:f>
        <x:v>HYPERLINK is not implemented. linkLocation=https://www.lastprice.co.il/p/100059186/%D7%A9%D7%95%D7%90%D7%91%2D%D7%90%D7%91%D7%A7%2D%D7%99%D7%93%D7%A0%D7%99%2D%D7%90%D7%9C%D7%97%D7%95%D7%98%D7%99%2D%D7%9B%D7%95%D7%9C%D7%9C%2D%D7%A2%D7%9E%D7%93%D7%AA%2D%D7%A8%D7%99%D7%A7%D7%95%D7%9F%2D%D7%90%D7%95%D7%98%D7%95%D7%9E%D7%98%D7%99%2DUwant/UWANT-V500%2D%D7%9C%D7%91%D7%9F, friendlyName=פתח דף מוצר</x:v>
      </x:c>
      <x:c r="K72" s="33" t="str">
        <x:v>דף מוצר חי 09.08.2026</x:v>
      </x:c>
      <x:c r="L72" s="33" t="str">
        <x:v>מחיר קנייה רגיל; הצעות לא נכללו</x:v>
      </x:c>
      <x:c r="M72" s="34" t="str">
        <x:v>09.08.2026 09:01 (Asia/Jerusalem)</x:v>
      </x:c>
    </x:row>
    <x:row r="73">
      <x:c r="A73" s="32" t="str">
        <x:v>LastPrice</x:v>
      </x:c>
      <x:c r="B73" s="33" t="n">
        <x:v>13</x:v>
      </x:c>
      <x:c r="C73" s="33" t="str">
        <x:v>V500</x:v>
      </x:c>
      <x:c r="D73" s="33" t="str">
        <x:v>שואב אבק ידני אלחוטי כולל עמדת ריקון אוטומטי Uwant V500 אפור מחיר ₪838</x:v>
      </x:c>
      <x:c r="E73" s="39" t="n">
        <x:v>838</x:v>
      </x:c>
      <x:c r="F73" s="39"/>
      <x:c r="G73" s="39"/>
      <x:c r="H73" s="33" t="str">
        <x:v>במלאי</x:v>
      </x:c>
      <x:c r="I73" s="33" t="str">
        <x:v>מכשיר</x:v>
      </x:c>
      <x:c r="J73" s="33" t="e">
        <x:f>HYPERLINK("https://www.lastprice.co.il/p/100059188/%D7%A9%D7%95%D7%90%D7%91%2D%D7%90%D7%91%D7%A7%2D%D7%99%D7%93%D7%A0%D7%99%2D%D7%90%D7%9C%D7%97%D7%95%D7%98%D7%99%2D%D7%9B%D7%95%D7%9C%D7%9C%2D%D7%A2%D7%9E%D7%93%D7%AA%2D%D7%A8%D7%99%D7%A7%D7%95%D7%9F%2D%D7%90%D7%95%D7%98%D7%95%D7%9E%D7%98%D7%99%2DUwant/UWANT-V500%2D%D7%90%D7%A4%D7%95%D7%A8","פתח דף מוצר")</x:f>
        <x:v>HYPERLINK is not implemented. linkLocation=https://www.lastprice.co.il/p/100059188/%D7%A9%D7%95%D7%90%D7%91%2D%D7%90%D7%91%D7%A7%2D%D7%99%D7%93%D7%A0%D7%99%2D%D7%90%D7%9C%D7%97%D7%95%D7%98%D7%99%2D%D7%9B%D7%95%D7%9C%D7%9C%2D%D7%A2%D7%9E%D7%93%D7%AA%2D%D7%A8%D7%99%D7%A7%D7%95%D7%9F%2D%D7%90%D7%95%D7%98%D7%95%D7%9E%D7%98%D7%99%2DUwant/UWANT-V500%2D%D7%90%D7%A4%D7%95%D7%A8, friendlyName=פתח דף מוצר</x:v>
      </x:c>
      <x:c r="K73" s="33" t="str">
        <x:v>דף מוצר חי 09.08.2026</x:v>
      </x:c>
      <x:c r="L73" s="33" t="str">
        <x:v>מחיר קנייה רגיל; הצעות לא נכללו</x:v>
      </x:c>
      <x:c r="M73" s="34" t="str">
        <x:v>09.08.2026 09:01 (Asia/Jerusalem)</x:v>
      </x:c>
    </x:row>
    <x:row r="74">
      <x:c r="A74" s="32" t="str">
        <x:v>LastPrice</x:v>
      </x:c>
      <x:c r="B74" s="33" t="n">
        <x:v>14</x:v>
      </x:c>
      <x:c r="C74" s="33" t="str">
        <x:v>V600</x:v>
      </x:c>
      <x:c r="D74" s="33" t="str">
        <x:v>שואב אבק כולל עמדת ניקוי עצמי Uwant V600 מחיר ₪1,476</x:v>
      </x:c>
      <x:c r="E74" s="39" t="n">
        <x:v>1476</x:v>
      </x:c>
      <x:c r="F74" s="39"/>
      <x:c r="G74" s="39"/>
      <x:c r="H74" s="33" t="str">
        <x:v>במלאי</x:v>
      </x:c>
      <x:c r="I74" s="33" t="str">
        <x:v>מכשיר</x:v>
      </x:c>
      <x:c r="J74" s="33" t="e">
        <x:f>HYPERLINK("https://www.lastprice.co.il/p/100059189/%D7%A9%D7%95%D7%90%D7%91%2D%D7%90%D7%91%D7%A7%2D%D7%9B%D7%95%D7%9C%D7%9C%2D%D7%A2%D7%9E%D7%93%D7%AA%2D%D7%A0%D7%99%D7%A7%D7%95%D7%99%2D%D7%A2%D7%A6%D7%9E%D7%99%2DUwant/UWANT-V600","פתח דף מוצר")</x:f>
        <x:v>HYPERLINK is not implemented. linkLocation=https://www.lastprice.co.il/p/100059189/%D7%A9%D7%95%D7%90%D7%91%2D%D7%90%D7%91%D7%A7%2D%D7%9B%D7%95%D7%9C%D7%9C%2D%D7%A2%D7%9E%D7%93%D7%AA%2D%D7%A0%D7%99%D7%A7%D7%95%D7%99%2D%D7%A2%D7%A6%D7%9E%D7%99%2DUwant/UWANT-V600, friendlyName=פתח דף מוצר</x:v>
      </x:c>
      <x:c r="K74" s="33" t="str">
        <x:v>דף מוצר חי 09.08.2026</x:v>
      </x:c>
      <x:c r="L74" s="33" t="str">
        <x:v>מחיר קנייה רגיל; הצעות לא נכללו</x:v>
      </x:c>
      <x:c r="M74" s="34" t="str">
        <x:v>09.08.2026 09:01 (Asia/Jerusalem)</x:v>
      </x:c>
    </x:row>
    <x:row r="75">
      <x:c r="A75" s="32" t="str">
        <x:v>LastPrice</x:v>
      </x:c>
      <x:c r="B75" s="33" t="n">
        <x:v>15</x:v>
      </x:c>
      <x:c r="C75" s="33" t="str">
        <x:v>V800</x:v>
      </x:c>
      <x:c r="D75" s="33" t="str">
        <x:v>שואב אבק אלחוטי כולל עמדת ריקון וניקוי עצמי UWANT V800 מחיר ₪2,590</x:v>
      </x:c>
      <x:c r="E75" s="39" t="n">
        <x:v>2590</x:v>
      </x:c>
      <x:c r="F75" s="39"/>
      <x:c r="G75" s="39"/>
      <x:c r="H75" s="33" t="str">
        <x:v>במלאי</x:v>
      </x:c>
      <x:c r="I75" s="33" t="str">
        <x:v>מכשיר</x:v>
      </x:c>
      <x:c r="J75" s="33" t="e">
        <x:f>HYPERLINK("https://www.lastprice.co.il/p/27791640/%D7%A9%D7%95%D7%90%D7%91%2D%D7%90%D7%91%D7%A7%2D%D7%90%D7%9C%D7%97%D7%95%D7%98%D7%99%2D%D7%9B%D7%95%D7%9C%D7%9C%2D%D7%A2%D7%9E%D7%93%D7%AA%2D%D7%A8%D7%99%D7%A7%D7%95%D7%9F%2D%D7%95%D7%A0%D7%99%D7%A7%D7%95%D7%99%2D%D7%A2%D7%A6%D7%9E%D7%99%2DUWANT/UWANT-V800","פתח דף מוצר")</x:f>
        <x:v>HYPERLINK is not implemented. linkLocation=https://www.lastprice.co.il/p/27791640/%D7%A9%D7%95%D7%90%D7%91%2D%D7%90%D7%91%D7%A7%2D%D7%90%D7%9C%D7%97%D7%95%D7%98%D7%99%2D%D7%9B%D7%95%D7%9C%D7%9C%2D%D7%A2%D7%9E%D7%93%D7%AA%2D%D7%A8%D7%99%D7%A7%D7%95%D7%9F%2D%D7%95%D7%A0%D7%99%D7%A7%D7%95%D7%99%2D%D7%A2%D7%A6%D7%9E%D7%99%2DUWANT/UWANT-V800, friendlyName=פתח דף מוצר</x:v>
      </x:c>
      <x:c r="K75" s="33" t="str">
        <x:v>דף מוצר חי 09.08.2026</x:v>
      </x:c>
      <x:c r="L75" s="33" t="str">
        <x:v>מחיר קנייה רגיל; הצעות לא נכללו</x:v>
      </x:c>
      <x:c r="M75" s="34" t="str">
        <x:v>09.08.2026 09:01 (Asia/Jerusalem)</x:v>
      </x:c>
    </x:row>
    <x:row r="76">
      <x:c r="A76" s="32" t="str">
        <x:v>LastPrice</x:v>
      </x:c>
      <x:c r="B76" s="33" t="n">
        <x:v>16</x:v>
      </x:c>
      <x:c r="C76" s="33" t="str">
        <x:v>Y100</x:v>
      </x:c>
      <x:c r="D76" s="33" t="str">
        <x:v>מכשיר לניקוי כתמים רב תכליתי UWANT Y100 Spot Cleaner לבן מחיר ₪590</x:v>
      </x:c>
      <x:c r="E76" s="39" t="n">
        <x:v>590</x:v>
      </x:c>
      <x:c r="F76" s="39"/>
      <x:c r="G76" s="39"/>
      <x:c r="H76" s="33" t="str">
        <x:v>במלאי</x:v>
      </x:c>
      <x:c r="I76" s="33" t="str">
        <x:v>מכשיר</x:v>
      </x:c>
      <x:c r="J76" s="33" t="e">
        <x:f>HYPERLINK("https://www.lastprice.co.il/p/100062533/%D7%9E%D7%9B%D7%A9%D7%99%D7%A8%2D%D7%9C%D7%A0%D7%99%D7%A7%D7%95%D7%99%2D%D7%9B%D7%AA%D7%9E%D7%99%D7%9D%2D%D7%A8%D7%91%2D%D7%AA%D7%9B%D7%9C%D7%99%D7%AA%D7%99%2DUWANT/UWANT-Y100%2DSpot%2DCleaner%2D%D7%9C%D7%91%D7%9F","פתח דף מוצר")</x:f>
        <x:v>HYPERLINK is not implemented. linkLocation=https://www.lastprice.co.il/p/100062533/%D7%9E%D7%9B%D7%A9%D7%99%D7%A8%2D%D7%9C%D7%A0%D7%99%D7%A7%D7%95%D7%99%2D%D7%9B%D7%AA%D7%9E%D7%99%D7%9D%2D%D7%A8%D7%91%2D%D7%AA%D7%9B%D7%9C%D7%99%D7%AA%D7%99%2DUWANT/UWANT-Y100%2DSpot%2DCleaner%2D%D7%9C%D7%91%D7%9F, friendlyName=פתח דף מוצר</x:v>
      </x:c>
      <x:c r="K76" s="33" t="str">
        <x:v>דף מוצר חי 09.08.2026</x:v>
      </x:c>
      <x:c r="L76" s="33" t="str">
        <x:v>מחיר קנייה רגיל; הצעות לא נכללו</x:v>
      </x:c>
      <x:c r="M76" s="34" t="str">
        <x:v>09.08.2026 09:01 (Asia/Jerusalem)</x:v>
      </x:c>
    </x:row>
    <x:row r="77">
      <x:c r="A77" s="32" t="str">
        <x:v>LastPrice</x:v>
      </x:c>
      <x:c r="B77" s="33" t="n">
        <x:v>17</x:v>
      </x:c>
      <x:c r="C77" s="33" t="str">
        <x:v>Y100 Steam</x:v>
      </x:c>
      <x:c r="D77" s="33" t="str">
        <x:v>מכשיר לניקוי כתמים רב תכליתי משולב קיטור UWANT Y100 Steam לבן מחיר ₪919</x:v>
      </x:c>
      <x:c r="E77" s="39" t="n">
        <x:v>919</x:v>
      </x:c>
      <x:c r="F77" s="39"/>
      <x:c r="G77" s="39"/>
      <x:c r="H77" s="33" t="str">
        <x:v>במלאי</x:v>
      </x:c>
      <x:c r="I77" s="33" t="str">
        <x:v>מכשיר</x:v>
      </x:c>
      <x:c r="J77" s="33" t="e">
        <x:f>HYPERLINK("https://www.lastprice.co.il/p/46675764/%D7%9E%D7%9B%D7%A9%D7%99%D7%A8%2D%D7%9C%D7%A0%D7%99%D7%A7%D7%95%D7%99%2D%D7%9B%D7%AA%D7%9E%D7%99%D7%9D%2D%D7%A8%D7%91%2D%D7%AA%D7%9B%D7%9C%D7%99%D7%AA%D7%99%2D%D7%9E%D7%A9%D7%95%D7%9C%D7%91%2D%D7%A7%D7%99%D7%98%D7%95%D7%A8%2DUWANT/UWANT-Y100%2DSteam%2D%D7%9C%D7%91%D7%9F","פתח דף מוצר")</x:f>
        <x:v>HYPERLINK is not implemented. linkLocation=https://www.lastprice.co.il/p/46675764/%D7%9E%D7%9B%D7%A9%D7%99%D7%A8%2D%D7%9C%D7%A0%D7%99%D7%A7%D7%95%D7%99%2D%D7%9B%D7%AA%D7%9E%D7%99%D7%9D%2D%D7%A8%D7%91%2D%D7%AA%D7%9B%D7%9C%D7%99%D7%AA%D7%99%2D%D7%9E%D7%A9%D7%95%D7%9C%D7%91%2D%D7%A7%D7%99%D7%98%D7%95%D7%A8%2DUWANT/UWANT-Y100%2DSteam%2D%D7%9C%D7%91%D7%9F, friendlyName=פתח דף מוצר</x:v>
      </x:c>
      <x:c r="K77" s="33" t="str">
        <x:v>דף מוצר חי 09.08.2026</x:v>
      </x:c>
      <x:c r="L77" s="33" t="str">
        <x:v>מחיר קנייה רגיל; הצעות לא נכללו</x:v>
      </x:c>
      <x:c r="M77" s="34" t="str">
        <x:v>09.08.2026 09:01 (Asia/Jerusalem)</x:v>
      </x:c>
    </x:row>
    <x:row r="78">
      <x:c r="A78" s="32" t="str">
        <x:v>LastPrice</x:v>
      </x:c>
      <x:c r="B78" s="33" t="n">
        <x:v>18</x:v>
      </x:c>
      <x:c r="C78" s="33" t="str">
        <x:v>Y200</x:v>
      </x:c>
      <x:c r="D78" s="33" t="str">
        <x:v>מכשיר לניקוי כתמים רב תכליתי UWANT Y200 מחיר ₪459</x:v>
      </x:c>
      <x:c r="E78" s="39" t="n">
        <x:v>459</x:v>
      </x:c>
      <x:c r="F78" s="39"/>
      <x:c r="G78" s="39"/>
      <x:c r="H78" s="33" t="str">
        <x:v>במלאי</x:v>
      </x:c>
      <x:c r="I78" s="33" t="str">
        <x:v>מכשיר</x:v>
      </x:c>
      <x:c r="J78" s="33" t="e">
        <x:f>HYPERLINK("https://www.lastprice.co.il/p/100060470/%D7%9E%D7%9B%D7%A9%D7%99%D7%A8%2D%D7%9C%D7%A0%D7%99%D7%A7%D7%95%D7%99%2D%D7%9B%D7%AA%D7%9E%D7%99%D7%9D%2D%D7%A8%D7%91%2D%D7%AA%D7%9B%D7%9C%D7%99%D7%AA%D7%99%2DUWANT/UWANT-Y200","פתח דף מוצר")</x:f>
        <x:v>HYPERLINK is not implemented. linkLocation=https://www.lastprice.co.il/p/100060470/%D7%9E%D7%9B%D7%A9%D7%99%D7%A8%2D%D7%9C%D7%A0%D7%99%D7%A7%D7%95%D7%99%2D%D7%9B%D7%AA%D7%9E%D7%99%D7%9D%2D%D7%A8%D7%91%2D%D7%AA%D7%9B%D7%9C%D7%99%D7%AA%D7%99%2DUWANT/UWANT-Y200, friendlyName=פתח דף מוצר</x:v>
      </x:c>
      <x:c r="K78" s="33" t="str">
        <x:v>דף מוצר חי 09.08.2026</x:v>
      </x:c>
      <x:c r="L78" s="33" t="str">
        <x:v>מחיר קנייה רגיל; הצעות לא נכללו</x:v>
      </x:c>
      <x:c r="M78" s="34" t="str">
        <x:v>09.08.2026 09:01 (Asia/Jerusalem)</x:v>
      </x:c>
    </x:row>
    <x:row r="79">
      <x:c r="A79" s="32" t="str">
        <x:v>ALM</x:v>
      </x:c>
      <x:c r="B79" s="33" t="n">
        <x:v>1</x:v>
      </x:c>
      <x:c r="C79" s="33" t="str">
        <x:v>D600</x:v>
      </x:c>
      <x:c r="D79" s="33" t="str">
        <x:v>שואב אבק אלחוטי שוטף דגם UWANT D600 שחור ‏2,190 ‏₪ ‏1,451 ‏₪</x:v>
      </x:c>
      <x:c r="E79" s="39" t="n">
        <x:v>1451</x:v>
      </x:c>
      <x:c r="F79" s="39" t="n">
        <x:v>2190</x:v>
      </x:c>
      <x:c r="G79" s="39"/>
      <x:c r="H79" s="33" t="str">
        <x:v>במלאי</x:v>
      </x:c>
      <x:c r="I79" s="33" t="str">
        <x:v>מכשיר</x:v>
      </x:c>
      <x:c r="J79" s="33" t="e">
        <x:f>HYPERLINK("https://www.alm.co.il/630053010.html","פתח דף מוצר")</x:f>
        <x:v>HYPERLINK is not implemented. linkLocation=https://www.alm.co.il/630053010.html, friendlyName=פתח דף מוצר</x:v>
      </x:c>
      <x:c r="K79" s="33" t="str">
        <x:v>דף מוצר חי 09.08.2026</x:v>
      </x:c>
      <x:c r="L79" s="33" t="str"/>
      <x:c r="M79" s="34" t="str">
        <x:v>09.08.2026 09:01 (Asia/Jerusalem)</x:v>
      </x:c>
    </x:row>
    <x:row r="80">
      <x:c r="A80" s="32" t="str">
        <x:v>ALM</x:v>
      </x:c>
      <x:c r="B80" s="33" t="n">
        <x:v>2</x:v>
      </x:c>
      <x:c r="C80" s="33" t="str">
        <x:v>D700</x:v>
      </x:c>
      <x:c r="D80" s="33" t="str">
        <x:v>שואב אבק אלחוטי שוטף דגם UWANT D700 Pro שחור ‏2,690 ‏₪ ‏1,890 ‏₪</x:v>
      </x:c>
      <x:c r="E80" s="39" t="n">
        <x:v>1890</x:v>
      </x:c>
      <x:c r="F80" s="39" t="n">
        <x:v>2690</x:v>
      </x:c>
      <x:c r="G80" s="39"/>
      <x:c r="H80" s="33" t="str">
        <x:v>במלאי</x:v>
      </x:c>
      <x:c r="I80" s="33" t="str">
        <x:v>מכשיר</x:v>
      </x:c>
      <x:c r="J80" s="33" t="e">
        <x:f>HYPERLINK("https://www.alm.co.il/630053011.html","פתח דף מוצר")</x:f>
        <x:v>HYPERLINK is not implemented. linkLocation=https://www.alm.co.il/630053011.html, friendlyName=פתח דף מוצר</x:v>
      </x:c>
      <x:c r="K80" s="33" t="str">
        <x:v>דף מוצר חי 09.08.2026</x:v>
      </x:c>
      <x:c r="L80" s="33" t="str"/>
      <x:c r="M80" s="34" t="str">
        <x:v>09.08.2026 09:01 (Asia/Jerusalem)</x:v>
      </x:c>
    </x:row>
    <x:row r="81">
      <x:c r="A81" s="32" t="str">
        <x:v>ALM</x:v>
      </x:c>
      <x:c r="B81" s="33" t="n">
        <x:v>3</x:v>
      </x:c>
      <x:c r="C81" s="33" t="str">
        <x:v>DX800</x:v>
      </x:c>
      <x:c r="D81" s="33" t="str">
        <x:v>שואב אלחוטי שוטף עם ניקוי בקיטור דגם UWANT DX800 Steam ‏2,750 ‏₪</x:v>
      </x:c>
      <x:c r="E81" s="39" t="n">
        <x:v>2750</x:v>
      </x:c>
      <x:c r="F81" s="39"/>
      <x:c r="G81" s="39"/>
      <x:c r="H81" s="33" t="str">
        <x:v>במלאי</x:v>
      </x:c>
      <x:c r="I81" s="33" t="str">
        <x:v>מכשיר</x:v>
      </x:c>
      <x:c r="J81" s="33" t="e">
        <x:f>HYPERLINK("https://www.alm.co.il/630053029.html","פתח דף מוצר")</x:f>
        <x:v>HYPERLINK is not implemented. linkLocation=https://www.alm.co.il/630053029.html, friendlyName=פתח דף מוצר</x:v>
      </x:c>
      <x:c r="K81" s="33" t="str">
        <x:v>דף מוצר חי 09.08.2026</x:v>
      </x:c>
      <x:c r="L81" s="33" t="str"/>
      <x:c r="M81" s="34" t="str">
        <x:v>09.08.2026 09:01 (Asia/Jerusalem)</x:v>
      </x:c>
    </x:row>
    <x:row r="82">
      <x:c r="A82" s="32" t="str">
        <x:v>ALM</x:v>
      </x:c>
      <x:c r="B82" s="33" t="n">
        <x:v>4</x:v>
      </x:c>
      <x:c r="C82" s="33" t="str">
        <x:v>M400</x:v>
      </x:c>
      <x:c r="D82" s="33" t="str">
        <x:v>שואב אבק מזרנים עוצמתי דגם UWANT M400 לבן ‏549 ‏₪ ‏400 ‏₪</x:v>
      </x:c>
      <x:c r="E82" s="39" t="n">
        <x:v>400</x:v>
      </x:c>
      <x:c r="F82" s="39" t="n">
        <x:v>549</x:v>
      </x:c>
      <x:c r="G82" s="39"/>
      <x:c r="H82" s="33" t="str">
        <x:v>במלאי</x:v>
      </x:c>
      <x:c r="I82" s="33" t="str">
        <x:v>מכשיר</x:v>
      </x:c>
      <x:c r="J82" s="33" t="e">
        <x:f>HYPERLINK("https://www.alm.co.il/630053015.html","פתח דף מוצר")</x:f>
        <x:v>HYPERLINK is not implemented. linkLocation=https://www.alm.co.il/630053015.html, friendlyName=פתח דף מוצר</x:v>
      </x:c>
      <x:c r="K82" s="33" t="str">
        <x:v>דף מוצר חי 09.08.2026</x:v>
      </x:c>
      <x:c r="L82" s="33" t="str"/>
      <x:c r="M82" s="34" t="str">
        <x:v>09.08.2026 09:01 (Asia/Jerusalem)</x:v>
      </x:c>
    </x:row>
    <x:row r="83">
      <x:c r="A83" s="32" t="str">
        <x:v>ALM</x:v>
      </x:c>
      <x:c r="B83" s="33" t="n">
        <x:v>5</x:v>
      </x:c>
      <x:c r="C83" s="33" t="str">
        <x:v>M600</x:v>
      </x:c>
      <x:c r="D83" s="33" t="str">
        <x:v>שואב מזרנים עוצמתי דגם UWANT M600 לבן ‏690 ‏₪ ‏506 ‏₪</x:v>
      </x:c>
      <x:c r="E83" s="39" t="n">
        <x:v>690</x:v>
      </x:c>
      <x:c r="F83" s="39"/>
      <x:c r="G83" s="39"/>
      <x:c r="H83" s="33" t="str">
        <x:v>במלאי</x:v>
      </x:c>
      <x:c r="I83" s="33" t="str">
        <x:v>מכשיר</x:v>
      </x:c>
      <x:c r="J83" s="33" t="e">
        <x:f>HYPERLINK("https://www.alm.co.il/630053020.html","פתח דף מוצר")</x:f>
        <x:v>HYPERLINK is not implemented. linkLocation=https://www.alm.co.il/630053020.html, friendlyName=פתח דף מוצר</x:v>
      </x:c>
      <x:c r="K83" s="33" t="str">
        <x:v>דף מוצר חי 09.08.2026</x:v>
      </x:c>
      <x:c r="L83" s="33" t="str"/>
      <x:c r="M83" s="34" t="str">
        <x:v>09.08.2026 09:01 (Asia/Jerusalem)</x:v>
      </x:c>
    </x:row>
    <x:row r="84">
      <x:c r="A84" s="32" t="str">
        <x:v>ALM</x:v>
      </x:c>
      <x:c r="B84" s="33" t="n">
        <x:v>6</x:v>
      </x:c>
      <x:c r="C84" s="33" t="str">
        <x:v>T300</x:v>
      </x:c>
      <x:c r="D84" s="33" t="str">
        <x:v>שואב רובוטי שוטף דגם UWANT T300 ‏3,790 ‏₪ ‏3,206 ‏₪</x:v>
      </x:c>
      <x:c r="E84" s="39" t="n">
        <x:v>3206</x:v>
      </x:c>
      <x:c r="F84" s="39" t="n">
        <x:v>3790</x:v>
      </x:c>
      <x:c r="G84" s="39"/>
      <x:c r="H84" s="33" t="str">
        <x:v>במלאי</x:v>
      </x:c>
      <x:c r="I84" s="33" t="str">
        <x:v>מכשיר</x:v>
      </x:c>
      <x:c r="J84" s="33" t="e">
        <x:f>HYPERLINK("https://www.alm.co.il/630053026.html","פתח דף מוצר")</x:f>
        <x:v>HYPERLINK is not implemented. linkLocation=https://www.alm.co.il/630053026.html, friendlyName=פתח דף מוצר</x:v>
      </x:c>
      <x:c r="K84" s="33" t="str">
        <x:v>דף מוצר חי 09.08.2026</x:v>
      </x:c>
      <x:c r="L84" s="33" t="str"/>
      <x:c r="M84" s="34" t="str">
        <x:v>09.08.2026 09:01 (Asia/Jerusalem)</x:v>
      </x:c>
    </x:row>
    <x:row r="85">
      <x:c r="A85" s="32" t="str">
        <x:v>ALM</x:v>
      </x:c>
      <x:c r="B85" s="33" t="n">
        <x:v>7</x:v>
      </x:c>
      <x:c r="C85" s="33" t="str">
        <x:v>U400</x:v>
      </x:c>
      <x:c r="D85" s="33" t="str">
        <x:v>שואב רובוטי שוטף דגם UWANT U400 ‏4,325 ‏₪</x:v>
      </x:c>
      <x:c r="E85" s="39" t="n">
        <x:v>4325</x:v>
      </x:c>
      <x:c r="F85" s="39"/>
      <x:c r="G85" s="39"/>
      <x:c r="H85" s="33" t="str">
        <x:v>במלאי</x:v>
      </x:c>
      <x:c r="I85" s="33" t="str">
        <x:v>מכשיר</x:v>
      </x:c>
      <x:c r="J85" s="33" t="e">
        <x:f>HYPERLINK("https://www.alm.co.il/630053028.html","פתח דף מוצר")</x:f>
        <x:v>HYPERLINK is not implemented. linkLocation=https://www.alm.co.il/630053028.html, friendlyName=פתח דף מוצר</x:v>
      </x:c>
      <x:c r="K85" s="33" t="str">
        <x:v>דף מוצר חי 09.08.2026</x:v>
      </x:c>
      <x:c r="L85" s="33" t="str"/>
      <x:c r="M85" s="34" t="str">
        <x:v>09.08.2026 09:01 (Asia/Jerusalem)</x:v>
      </x:c>
    </x:row>
    <x:row r="86">
      <x:c r="A86" s="32" t="str">
        <x:v>ALM</x:v>
      </x:c>
      <x:c r="B86" s="33" t="n">
        <x:v>8</x:v>
      </x:c>
      <x:c r="C86" s="33" t="str">
        <x:v>V800</x:v>
      </x:c>
      <x:c r="D86" s="33" t="str">
        <x:v>שואב אלחוטי עם עמדת ריקון וניקוי עצמי דגם UWANT V800 אפור ‏2,690 ‏₪ ‏2,592 ‏₪</x:v>
      </x:c>
      <x:c r="E86" s="39"/>
      <x:c r="F86" s="39"/>
      <x:c r="G86" s="39"/>
      <x:c r="H86" s="33" t="str">
        <x:v>לא זמין</x:v>
      </x:c>
      <x:c r="I86" s="33" t="str">
        <x:v>מכשיר</x:v>
      </x:c>
      <x:c r="J86" s="33" t="e">
        <x:f>HYPERLINK("https://www.alm.co.il/630053027.html","פתח דף מוצר")</x:f>
        <x:v>HYPERLINK is not implemented. linkLocation=https://www.alm.co.il/630053027.html, friendlyName=פתח דף מוצר</x:v>
      </x:c>
      <x:c r="K86" s="33" t="str">
        <x:v>דף מוצר חי 09.08.2026</x:v>
      </x:c>
      <x:c r="L86" s="33" t="str"/>
      <x:c r="M86" s="34" t="str">
        <x:v>09.08.2026 09:01 (Asia/Jerusalem)</x:v>
      </x:c>
    </x:row>
    <x:row r="87">
      <x:c r="A87" s="32" t="str">
        <x:v>ALM</x:v>
      </x:c>
      <x:c r="B87" s="33" t="n">
        <x:v>9</x:v>
      </x:c>
      <x:c r="C87" s="33" t="str">
        <x:v>Y100 Steam</x:v>
      </x:c>
      <x:c r="D87" s="33" t="str">
        <x:v>מנקה כתמים רב תכליתי עם קיטור דגם UWANT Y100 Steam לבן ‏990 ‏₪ ‏951 ‏₪</x:v>
      </x:c>
      <x:c r="E87" s="39"/>
      <x:c r="F87" s="39"/>
      <x:c r="G87" s="39"/>
      <x:c r="H87" s="33" t="str">
        <x:v>לא זמין</x:v>
      </x:c>
      <x:c r="I87" s="33" t="str">
        <x:v>מכשיר</x:v>
      </x:c>
      <x:c r="J87" s="33" t="e">
        <x:f>HYPERLINK("https://www.alm.co.il/630053019.html","פתח דף מוצר")</x:f>
        <x:v>HYPERLINK is not implemented. linkLocation=https://www.alm.co.il/630053019.html, friendlyName=פתח דף מוצר</x:v>
      </x:c>
      <x:c r="K87" s="33" t="str">
        <x:v>דף מוצר חי 09.08.2026</x:v>
      </x:c>
      <x:c r="L87" s="33" t="str"/>
      <x:c r="M87" s="34" t="str">
        <x:v>09.08.2026 09:01 (Asia/Jerusalem)</x:v>
      </x:c>
    </x:row>
    <x:row r="88">
      <x:c r="A88" s="32" t="str">
        <x:v>Traklin</x:v>
      </x:c>
      <x:c r="B88" s="33" t="n">
        <x:v>1</x:v>
      </x:c>
      <x:c r="C88" s="33" t="str">
        <x:v>Y100</x:v>
      </x:c>
      <x:c r="D88" s="33" t="str">
        <x:v>מנקה ספות רב תכליתי UWANT דגם Y100 ₪590</x:v>
      </x:c>
      <x:c r="E88" s="39" t="n">
        <x:v>590</x:v>
      </x:c>
      <x:c r="F88" s="39"/>
      <x:c r="G88" s="39"/>
      <x:c r="H88" s="33" t="str">
        <x:v>במלאי</x:v>
      </x:c>
      <x:c r="I88" s="33" t="str">
        <x:v>מכשיר</x:v>
      </x:c>
      <x:c r="J88" s="33" t="e">
        <x:f>HYPERLINK("https://www.traklin.co.il/נקיון_וכביסה/שואב_אבק/מנקה_ספות_רב_תכליתי_uwant_דגם_y100?search=UWANT","פתח דף מוצר")</x:f>
        <x:v>HYPERLINK is not implemented. linkLocation=https://www.traklin.co.il/נקיון_וכביסה/שואב_אבק/מנקה_ספות_רב_תכליתי_uwant_דגם_y100?search=UWANT, friendlyName=פתח דף מוצר</x:v>
      </x:c>
      <x:c r="K88" s="33" t="str">
        <x:v>דף מוצר חי 09.08.2026</x:v>
      </x:c>
      <x:c r="L88" s="33" t="str"/>
      <x:c r="M88" s="34" t="str">
        <x:v>09.08.2026 09:01 (Asia/Jerusalem)</x:v>
      </x:c>
    </x:row>
    <x:row r="89">
      <x:c r="A89" s="32" t="str">
        <x:v>Traklin</x:v>
      </x:c>
      <x:c r="B89" s="33" t="n">
        <x:v>2</x:v>
      </x:c>
      <x:c r="C89" s="33" t="str">
        <x:v>Y100 Steam</x:v>
      </x:c>
      <x:c r="D89" s="33" t="str">
        <x:v>מנקה ספות רב תכליתי עם קיטור UWANT דגם STEAM Y100 ₪919</x:v>
      </x:c>
      <x:c r="E89" s="39" t="n">
        <x:v>919</x:v>
      </x:c>
      <x:c r="F89" s="39"/>
      <x:c r="G89" s="39"/>
      <x:c r="H89" s="33" t="str">
        <x:v>במלאי</x:v>
      </x:c>
      <x:c r="I89" s="33" t="str">
        <x:v>מכשיר</x:v>
      </x:c>
      <x:c r="J89" s="33" t="e">
        <x:f>HYPERLINK("https://www.traklin.co.il/נקיון_וכביסה/שואב_אבק/מנקה_ספות_רב_תכליתי_עם_קיטור_uwant_דגם_steam_y100?search=UWANT","פתח דף מוצר")</x:f>
        <x:v>HYPERLINK is not implemented. linkLocation=https://www.traklin.co.il/נקיון_וכביסה/שואב_אבק/מנקה_ספות_רב_תכליתי_עם_קיטור_uwant_דגם_steam_y100?search=UWANT, friendlyName=פתח דף מוצר</x:v>
      </x:c>
      <x:c r="K89" s="33" t="str">
        <x:v>דף מוצר חי 09.08.2026</x:v>
      </x:c>
      <x:c r="L89" s="33" t="str"/>
      <x:c r="M89" s="34" t="str">
        <x:v>09.08.2026 09:01 (Asia/Jerusalem)</x:v>
      </x:c>
    </x:row>
    <x:row r="90">
      <x:c r="A90" s="32" t="str">
        <x:v>Traklin</x:v>
      </x:c>
      <x:c r="B90" s="33" t="n">
        <x:v>3</x:v>
      </x:c>
      <x:c r="C90" s="33" t="str">
        <x:v>Y200</x:v>
      </x:c>
      <x:c r="D90" s="33" t="str">
        <x:v>מנקה ספות רב תכליתי UWANT דגם Y200 ₪459</x:v>
      </x:c>
      <x:c r="E90" s="39" t="n">
        <x:v>459</x:v>
      </x:c>
      <x:c r="F90" s="39"/>
      <x:c r="G90" s="39"/>
      <x:c r="H90" s="33" t="str">
        <x:v>במלאי</x:v>
      </x:c>
      <x:c r="I90" s="33" t="str">
        <x:v>מכשיר</x:v>
      </x:c>
      <x:c r="J90" s="33" t="e">
        <x:f>HYPERLINK("https://www.traklin.co.il/נקיון_וכביסה/שואב_אבק/מנקה_ספות_רב_תכליתי_uwant_דגם_y200?search=UWANT","פתח דף מוצר")</x:f>
        <x:v>HYPERLINK is not implemented. linkLocation=https://www.traklin.co.il/נקיון_וכביסה/שואב_אבק/מנקה_ספות_רב_תכליתי_uwant_דגם_y200?search=UWANT, friendlyName=פתח דף מוצר</x:v>
      </x:c>
      <x:c r="K90" s="33" t="str">
        <x:v>דף מוצר חי 09.08.2026</x:v>
      </x:c>
      <x:c r="L90" s="33" t="str"/>
      <x:c r="M90" s="34" t="str">
        <x:v>09.08.2026 09:01 (Asia/Jerusalem)</x:v>
      </x:c>
    </x:row>
    <x:row r="91">
      <x:c r="A91" s="32" t="str">
        <x:v>Traklin</x:v>
      </x:c>
      <x:c r="B91" s="33" t="n">
        <x:v>4</x:v>
      </x:c>
      <x:c r="C91" s="33" t="str">
        <x:v>Y200 Steam</x:v>
      </x:c>
      <x:c r="D91" s="33" t="str">
        <x:v>מנקה ספות רב תכליתי עם קיטור UWANT דגם STEAM Y200 ₪1,290</x:v>
      </x:c>
      <x:c r="E91" s="39" t="n">
        <x:v>1290</x:v>
      </x:c>
      <x:c r="F91" s="39"/>
      <x:c r="G91" s="39"/>
      <x:c r="H91" s="33" t="str">
        <x:v>במלאי</x:v>
      </x:c>
      <x:c r="I91" s="33" t="str">
        <x:v>מכשיר</x:v>
      </x:c>
      <x:c r="J91" s="33" t="e">
        <x:f>HYPERLINK("https://www.traklin.co.il/נקיון_וכביסה/שואב_אבק/מנקה_ספות_רב_תכליתי_עם_קיטור_uwant_דגם_steam_y200?search=UWANT","פתח דף מוצר")</x:f>
        <x:v>HYPERLINK is not implemented. linkLocation=https://www.traklin.co.il/נקיון_וכביסה/שואב_אבק/מנקה_ספות_רב_תכליתי_עם_קיטור_uwant_דגם_steam_y200?search=UWANT, friendlyName=פתח דף מוצר</x:v>
      </x:c>
      <x:c r="K91" s="33" t="str">
        <x:v>דף מוצר חי 09.08.2026</x:v>
      </x:c>
      <x:c r="L91" s="33" t="str"/>
      <x:c r="M91" s="34" t="str">
        <x:v>09.08.2026 09:01 (Asia/Jerusalem)</x:v>
      </x:c>
    </x:row>
    <x:row r="92">
      <x:c r="A92" s="32" t="str">
        <x:v>City Deal</x:v>
      </x:c>
      <x:c r="B92" s="33" t="n">
        <x:v>1</x:v>
      </x:c>
      <x:c r="C92" s="33" t="str">
        <x:v>D500</x:v>
      </x:c>
      <x:c r="D92" s="33" t="str">
        <x:v>UWANT D500 – שואב-שוטף עם תחנת עגינה לחיטוי וייבוש 65°C, שאיבה 17,000Pa | יבואן רשמי-משלוח מהיר ₪798</x:v>
      </x:c>
      <x:c r="E92" s="39" t="n">
        <x:v>798</x:v>
      </x:c>
      <x:c r="F92" s="39"/>
      <x:c r="G92" s="39"/>
      <x:c r="H92" s="33" t="str">
        <x:v>במלאי</x:v>
      </x:c>
      <x:c r="I92" s="33" t="str">
        <x:v>מכשיר</x:v>
      </x:c>
      <x:c r="J92" s="33" t="e">
        <x:f>HYPERLINK("https://www.citydeal.co.il/product/uwant-d500-%D7%A9%D7%95%D7%90%D7%91-%D7%A9%D7%95%D7%98%D7%A3-%D7%AA%D7%97%D7%A0%D7%AA-%D7%A2%D7%92%D7%99%D7%A0%D7%94-17000pa","פתח דף מוצר")</x:f>
        <x:v>HYPERLINK is not implemented. linkLocation=https://www.citydeal.co.il/product/uwant-d500-%D7%A9%D7%95%D7%90%D7%91-%D7%A9%D7%95%D7%98%D7%A3-%D7%AA%D7%97%D7%A0%D7%AA-%D7%A2%D7%92%D7%99%D7%A0%D7%94-17000pa, friendlyName=פתח דף מוצר</x:v>
      </x:c>
      <x:c r="K92" s="33" t="str">
        <x:v>דף מוצר חי 09.08.2026</x:v>
      </x:c>
      <x:c r="L92" s="33" t="str"/>
      <x:c r="M92" s="34" t="str">
        <x:v>09.08.2026 09:01 (Asia/Jerusalem)</x:v>
      </x:c>
    </x:row>
    <x:row r="93">
      <x:c r="A93" s="32" t="str">
        <x:v>City Deal</x:v>
      </x:c>
      <x:c r="B93" s="33" t="n">
        <x:v>2</x:v>
      </x:c>
      <x:c r="C93" s="33" t="str">
        <x:v>D600</x:v>
      </x:c>
      <x:c r="D93" s="33" t="str">
        <x:v>UWANT D600 – שואב שוטף עם תחנת עגינה, חיטוי 100°C ועוצמת שאיבה 23,000Pa | יבואן רשמי | משלוח מהיר ₪1360</x:v>
      </x:c>
      <x:c r="E93" s="39" t="n">
        <x:v>1345</x:v>
      </x:c>
      <x:c r="F93" s="39"/>
      <x:c r="G93" s="39"/>
      <x:c r="H93" s="33" t="str">
        <x:v>במלאי</x:v>
      </x:c>
      <x:c r="I93" s="33" t="str">
        <x:v>מכשיר</x:v>
      </x:c>
      <x:c r="J93" s="33" t="e">
        <x:f>HYPERLINK("https://www.citydeal.co.il/product/uwant-d600-%D7%A9%D7%95%D7%90%D7%91-%D7%A9%D7%95%D7%98%D7%A3-%D7%AA%D7%97%D7%A0%D7%AA-%D7%A2%D7%92%D7%99%D7%A0%D7%94-23000pa","פתח דף מוצר")</x:f>
        <x:v>HYPERLINK is not implemented. linkLocation=https://www.citydeal.co.il/product/uwant-d600-%D7%A9%D7%95%D7%90%D7%91-%D7%A9%D7%95%D7%98%D7%A3-%D7%AA%D7%97%D7%A0%D7%AA-%D7%A2%D7%92%D7%99%D7%A0%D7%94-23000pa, friendlyName=פתח דף מוצר</x:v>
      </x:c>
      <x:c r="K93" s="33" t="str">
        <x:v>דף מוצר חי 09.08.2026</x:v>
      </x:c>
      <x:c r="L93" s="33" t="str"/>
      <x:c r="M93" s="34" t="str">
        <x:v>09.08.2026 09:01 (Asia/Jerusalem)</x:v>
      </x:c>
    </x:row>
    <x:row r="94">
      <x:c r="A94" s="32" t="str">
        <x:v>City Deal</x:v>
      </x:c>
      <x:c r="B94" s="33" t="n">
        <x:v>3</x:v>
      </x:c>
      <x:c r="C94" s="33" t="str">
        <x:v>D700</x:v>
      </x:c>
      <x:c r="D94" s="33" t="str">
        <x:v>UWANT D700 Pro - שואב שוטף מתקדם עם תחנת עגינה חכמה, חיטוי 100°C ו-23,000Pa | יבואן רשמי ₪1886</x:v>
      </x:c>
      <x:c r="E94" s="39" t="n">
        <x:v>1881</x:v>
      </x:c>
      <x:c r="F94" s="39"/>
      <x:c r="G94" s="39"/>
      <x:c r="H94" s="33" t="str">
        <x:v>במלאי</x:v>
      </x:c>
      <x:c r="I94" s="33" t="str">
        <x:v>מכשיר</x:v>
      </x:c>
      <x:c r="J94" s="33" t="e">
        <x:f>HYPERLINK("https://www.citydeal.co.il/product/uwant-d700-pro","פתח דף מוצר")</x:f>
        <x:v>HYPERLINK is not implemented. linkLocation=https://www.citydeal.co.il/product/uwant-d700-pro, friendlyName=פתח דף מוצר</x:v>
      </x:c>
      <x:c r="K94" s="33" t="str">
        <x:v>דף מוצר חי 09.08.2026</x:v>
      </x:c>
      <x:c r="L94" s="33" t="str"/>
      <x:c r="M94" s="34" t="str">
        <x:v>09.08.2026 09:01 (Asia/Jerusalem)</x:v>
      </x:c>
    </x:row>
    <x:row r="95">
      <x:c r="A95" s="32" t="str">
        <x:v>City Deal</x:v>
      </x:c>
      <x:c r="B95" s="33" t="n">
        <x:v>4</x:v>
      </x:c>
      <x:c r="C95" s="33" t="str">
        <x:v>DX800</x:v>
      </x:c>
      <x:c r="D95" s="33" t="str">
        <x:v>שואב שוטף אלחוטי UWANT DX800 Steam עם חיטוי קיטור 160°C, מים חמים ושאיבה 27,000Pa | יבואן רשמי-משלוח מהיר ₪2689</x:v>
      </x:c>
      <x:c r="E95" s="39" t="n">
        <x:v>2689</x:v>
      </x:c>
      <x:c r="F95" s="39"/>
      <x:c r="G95" s="39"/>
      <x:c r="H95" s="33" t="str">
        <x:v>במלאי</x:v>
      </x:c>
      <x:c r="I95" s="33" t="str">
        <x:v>מכשיר</x:v>
      </x:c>
      <x:c r="J95" s="33" t="e">
        <x:f>HYPERLINK("https://www.citydeal.co.il/product/uwant-dx800-steam-cordless-vacuum-cleaner","פתח דף מוצר")</x:f>
        <x:v>HYPERLINK is not implemented. linkLocation=https://www.citydeal.co.il/product/uwant-dx800-steam-cordless-vacuum-cleaner, friendlyName=פתח דף מוצר</x:v>
      </x:c>
      <x:c r="K95" s="33" t="str">
        <x:v>דף מוצר חי 09.08.2026</x:v>
      </x:c>
      <x:c r="L95" s="33" t="str"/>
      <x:c r="M95" s="34" t="str">
        <x:v>09.08.2026 09:01 (Asia/Jerusalem)</x:v>
      </x:c>
    </x:row>
    <x:row r="96">
      <x:c r="A96" s="32" t="str">
        <x:v>City Deal</x:v>
      </x:c>
      <x:c r="B96" s="33" t="n">
        <x:v>5</x:v>
      </x:c>
      <x:c r="C96" s="33" t="str">
        <x:v>M400</x:v>
      </x:c>
      <x:c r="D96" s="33" t="str">
        <x:v>שואב מזרנים UWANT M400 בעוצמת 13,800Pa עם פטנט מיכל כפול ורצועות Dual StaticHair | יבואן רשמי ₪364</x:v>
      </x:c>
      <x:c r="E96" s="39" t="n">
        <x:v>364</x:v>
      </x:c>
      <x:c r="F96" s="39"/>
      <x:c r="G96" s="39"/>
      <x:c r="H96" s="33" t="str">
        <x:v>במלאי</x:v>
      </x:c>
      <x:c r="I96" s="33" t="str">
        <x:v>מכשיר</x:v>
      </x:c>
      <x:c r="J96" s="33" t="e">
        <x:f>HYPERLINK("https://www.citydeal.co.il/product/uwant-m400","פתח דף מוצר")</x:f>
        <x:v>HYPERLINK is not implemented. linkLocation=https://www.citydeal.co.il/product/uwant-m400, friendlyName=פתח דף מוצר</x:v>
      </x:c>
      <x:c r="K96" s="33" t="str">
        <x:v>דף מוצר חי 09.08.2026</x:v>
      </x:c>
      <x:c r="L96" s="33" t="str"/>
      <x:c r="M96" s="34" t="str">
        <x:v>09.08.2026 09:01 (Asia/Jerusalem)</x:v>
      </x:c>
    </x:row>
    <x:row r="97">
      <x:c r="A97" s="32" t="str">
        <x:v>City Deal</x:v>
      </x:c>
      <x:c r="B97" s="33" t="n">
        <x:v>6</x:v>
      </x:c>
      <x:c r="C97" s="33" t="str">
        <x:v>M600</x:v>
      </x:c>
      <x:c r="D97" s="33" t="str">
        <x:v>שואב מזרנים וספות UWANT M600 עם חיטוי UV נגד קרדית האבק, עוצמת יניקה 15,000Pa וחבטה עמוקה 500W | יבואן רשמי-משלוח מהיר ₪679</x:v>
      </x:c>
      <x:c r="E97" s="39" t="n">
        <x:v>675</x:v>
      </x:c>
      <x:c r="F97" s="39"/>
      <x:c r="G97" s="39"/>
      <x:c r="H97" s="33" t="str">
        <x:v>במלאי</x:v>
      </x:c>
      <x:c r="I97" s="33" t="str">
        <x:v>מכשיר</x:v>
      </x:c>
      <x:c r="J97" s="33" t="e">
        <x:f>HYPERLINK("https://www.citydeal.co.il/product/uwant-m600-mattress-vacuum-cleaner-uv-anti-mite","פתח דף מוצר")</x:f>
        <x:v>HYPERLINK is not implemented. linkLocation=https://www.citydeal.co.il/product/uwant-m600-mattress-vacuum-cleaner-uv-anti-mite, friendlyName=פתח דף מוצר</x:v>
      </x:c>
      <x:c r="K97" s="33" t="str">
        <x:v>דף מוצר חי 09.08.2026</x:v>
      </x:c>
      <x:c r="L97" s="33" t="str"/>
      <x:c r="M97" s="34" t="str">
        <x:v>09.08.2026 09:01 (Asia/Jerusalem)</x:v>
      </x:c>
    </x:row>
    <x:row r="98">
      <x:c r="A98" s="32" t="str">
        <x:v>City Deal</x:v>
      </x:c>
      <x:c r="B98" s="33" t="n">
        <x:v>7</x:v>
      </x:c>
      <x:c r="C98" s="33" t="str">
        <x:v>T300</x:v>
      </x:c>
      <x:c r="D98" s="33" t="str">
        <x:v>שואב שוטף רובוטי UWANT T300 עם חיבור קבוע לצנרת, שטיפה ב-80°C ועוצמת 25,000Pa יבואן רשמי ₪3202</x:v>
      </x:c>
      <x:c r="E98" s="39" t="n">
        <x:v>3199</x:v>
      </x:c>
      <x:c r="F98" s="39"/>
      <x:c r="G98" s="39"/>
      <x:c r="H98" s="33" t="str">
        <x:v>במלאי</x:v>
      </x:c>
      <x:c r="I98" s="33" t="str">
        <x:v>מכשיר</x:v>
      </x:c>
      <x:c r="J98" s="33" t="e">
        <x:f>HYPERLINK("https://www.citydeal.co.il/product/uwant-t300-robotic-vacuum-cleaner","פתח דף מוצר")</x:f>
        <x:v>HYPERLINK is not implemented. linkLocation=https://www.citydeal.co.il/product/uwant-t300-robotic-vacuum-cleaner, friendlyName=פתח דף מוצר</x:v>
      </x:c>
      <x:c r="K98" s="33" t="str">
        <x:v>דף מוצר חי 09.08.2026</x:v>
      </x:c>
      <x:c r="L98" s="33" t="str"/>
      <x:c r="M98" s="34" t="str">
        <x:v>09.08.2026 09:01 (Asia/Jerusalem)</x:v>
      </x:c>
    </x:row>
    <x:row r="99">
      <x:c r="A99" s="32" t="str">
        <x:v>City Deal</x:v>
      </x:c>
      <x:c r="B99" s="33" t="n">
        <x:v>8</x:v>
      </x:c>
      <x:c r="C99" s="33" t="str">
        <x:v>U300 V25</x:v>
      </x:c>
      <x:c r="D99" s="33" t="str">
        <x:v>שואב אבק רובוטי שוטף UWANT U300 V25 ‏13,000Pa עם רולר מקרצף ואפשרות חיבור לצנרת | יבואן רשמי-משלוח מהיר ₪1949</x:v>
      </x:c>
      <x:c r="E99" s="39" t="n">
        <x:v>1949</x:v>
      </x:c>
      <x:c r="F99" s="39"/>
      <x:c r="G99" s="39"/>
      <x:c r="H99" s="33" t="str">
        <x:v>במלאי</x:v>
      </x:c>
      <x:c r="I99" s="33" t="str">
        <x:v>מכשיר</x:v>
      </x:c>
      <x:c r="J99" s="33" t="e">
        <x:f>HYPERLINK("https://www.citydeal.co.il/product/uwant-u300-v25-%D7%A8%D7%95%D7%91%D7%95%D7%98-%D7%A9%D7%95%D7%90%D7%91-%D7%A9%D7%95%D7%98%D7%A3-%D7%9E%D7%99%D7%9D-%D7%97%D7%9E%D7%99%D7%9D-13000pa","פתח דף מוצר")</x:f>
        <x:v>HYPERLINK is not implemented. linkLocation=https://www.citydeal.co.il/product/uwant-u300-v25-%D7%A8%D7%95%D7%91%D7%95%D7%98-%D7%A9%D7%95%D7%90%D7%91-%D7%A9%D7%95%D7%98%D7%A3-%D7%9E%D7%99%D7%9D-%D7%97%D7%9E%D7%99%D7%9D-13000pa, friendlyName=פתח דף מוצר</x:v>
      </x:c>
      <x:c r="K99" s="33" t="str">
        <x:v>דף מוצר חי 09.08.2026</x:v>
      </x:c>
      <x:c r="L99" s="33" t="str"/>
      <x:c r="M99" s="34" t="str">
        <x:v>09.08.2026 09:01 (Asia/Jerusalem)</x:v>
      </x:c>
    </x:row>
    <x:row r="100">
      <x:c r="A100" s="32" t="str">
        <x:v>City Deal</x:v>
      </x:c>
      <x:c r="B100" s="33" t="n">
        <x:v>9</x:v>
      </x:c>
      <x:c r="C100" s="33" t="str">
        <x:v>U400</x:v>
      </x:c>
      <x:c r="D100" s="33" t="str">
        <x:v>שואב שוטף רובוטי UWANT U400 יוואנט עם שטיפה ב-80°C, שאיבה 25000Pa ומערכת מילוי היברידית | יבואן רשמי ₪4318</x:v>
      </x:c>
      <x:c r="E100" s="39" t="n">
        <x:v>4318</x:v>
      </x:c>
      <x:c r="F100" s="39"/>
      <x:c r="G100" s="39"/>
      <x:c r="H100" s="33" t="str">
        <x:v>במלאי</x:v>
      </x:c>
      <x:c r="I100" s="33" t="str">
        <x:v>מכשיר</x:v>
      </x:c>
      <x:c r="J100" s="33" t="e">
        <x:f>HYPERLINK("https://www.citydeal.co.il/product/uwant-u400","פתח דף מוצר")</x:f>
        <x:v>HYPERLINK is not implemented. linkLocation=https://www.citydeal.co.il/product/uwant-u400, friendlyName=פתח דף מוצר</x:v>
      </x:c>
      <x:c r="K100" s="33" t="str">
        <x:v>דף מוצר חי 09.08.2026</x:v>
      </x:c>
      <x:c r="L100" s="33" t="str"/>
      <x:c r="M100" s="34" t="str">
        <x:v>09.08.2026 09:01 (Asia/Jerusalem)</x:v>
      </x:c>
    </x:row>
    <x:row r="101">
      <x:c r="A101" s="32" t="str">
        <x:v>City Deal</x:v>
      </x:c>
      <x:c r="B101" s="33" t="n">
        <x:v>10</x:v>
      </x:c>
      <x:c r="C101" s="33" t="str">
        <x:v>V500</x:v>
      </x:c>
      <x:c r="D101" s="33" t="str">
        <x:v>שואב אבק אלחוטי UWANT V500 עם עמדת ניקוי עצמי Dust-Hive צבע אפור | יבואן רשמי-משלוח מהיר ₪825</x:v>
      </x:c>
      <x:c r="E101" s="39" t="n">
        <x:v>794</x:v>
      </x:c>
      <x:c r="F101" s="39"/>
      <x:c r="G101" s="39"/>
      <x:c r="H101" s="33" t="str">
        <x:v>במלאי</x:v>
      </x:c>
      <x:c r="I101" s="33" t="str">
        <x:v>מכשיר</x:v>
      </x:c>
      <x:c r="J101" s="33" t="e">
        <x:f>HYPERLINK("https://www.citydeal.co.il/product/uwant-v500-%D7%A9%D7%95%D7%90%D7%91-%D7%90%D7%91%D7%A7-%D7%90%D7%9C%D7%97%D7%95%D7%98%D7%99-%D7%A2%D7%9E%D7%93%D7%AA-%D7%A0%D7%99%D7%A7%D7%95%D7%99-%D7%A2%D7%A6%D7%9E%D7%99","פתח דף מוצר")</x:f>
        <x:v>HYPERLINK is not implemented. linkLocation=https://www.citydeal.co.il/product/uwant-v500-%D7%A9%D7%95%D7%90%D7%91-%D7%90%D7%91%D7%A7-%D7%90%D7%9C%D7%97%D7%95%D7%98%D7%99-%D7%A2%D7%9E%D7%93%D7%AA-%D7%A0%D7%99%D7%A7%D7%95%D7%99-%D7%A2%D7%A6%D7%9E%D7%99, friendlyName=פתח דף מוצר</x:v>
      </x:c>
      <x:c r="K101" s="33" t="str">
        <x:v>דף מוצר חי 09.08.2026</x:v>
      </x:c>
      <x:c r="L101" s="33" t="str"/>
      <x:c r="M101" s="34" t="str">
        <x:v>09.08.2026 09:01 (Asia/Jerusalem)</x:v>
      </x:c>
    </x:row>
    <x:row r="102">
      <x:c r="A102" s="32" t="str">
        <x:v>City Deal</x:v>
      </x:c>
      <x:c r="B102" s="33" t="n">
        <x:v>11</x:v>
      </x:c>
      <x:c r="C102" s="33" t="str">
        <x:v>V600</x:v>
      </x:c>
      <x:c r="D102" s="33" t="str">
        <x:v>UWANT V600 – שואב אבק אלחוטי עם תחנת עגינה לניקוי עצמי | יבואן רשמי-משלוח מהיר ₪1355</x:v>
      </x:c>
      <x:c r="E102" s="39" t="n">
        <x:v>1352</x:v>
      </x:c>
      <x:c r="F102" s="39"/>
      <x:c r="G102" s="39"/>
      <x:c r="H102" s="33" t="str">
        <x:v>במלאי</x:v>
      </x:c>
      <x:c r="I102" s="33" t="str">
        <x:v>מכשיר</x:v>
      </x:c>
      <x:c r="J102" s="33" t="e">
        <x:f>HYPERLINK("https://www.citydeal.co.il/product/uwant-v600-%D7%A9%D7%95%D7%90%D7%91-%D7%90%D7%91%D7%A7-%D7%90%D7%9C%D7%97%D7%95%D7%98%D7%99-%D7%AA%D7%97%D7%A0%D7%AA-%D7%A2%D7%92%D7%99%D7%A0%D7%94-%D7%A0%D7%99%D7%A7%D7%95%D7%99-%D7%A2%D7%A6%D7%9E%D7%99","פתח דף מוצר")</x:f>
        <x:v>HYPERLINK is not implemented. linkLocation=https://www.citydeal.co.il/product/uwant-v600-%D7%A9%D7%95%D7%90%D7%91-%D7%90%D7%91%D7%A7-%D7%90%D7%9C%D7%97%D7%95%D7%98%D7%99-%D7%AA%D7%97%D7%A0%D7%AA-%D7%A2%D7%92%D7%99%D7%A0%D7%94-%D7%A0%D7%99%D7%A7%D7%95%D7%99-%D7%A2%D7%A6%D7%9E%D7%99, friendlyName=פתח דף מוצר</x:v>
      </x:c>
      <x:c r="K102" s="33" t="str">
        <x:v>דף מוצר חי 09.08.2026</x:v>
      </x:c>
      <x:c r="L102" s="33" t="str"/>
      <x:c r="M102" s="34" t="str">
        <x:v>09.08.2026 09:01 (Asia/Jerusalem)</x:v>
      </x:c>
    </x:row>
    <x:row r="103">
      <x:c r="A103" s="32" t="str">
        <x:v>City Deal</x:v>
      </x:c>
      <x:c r="B103" s="33" t="n">
        <x:v>12</x:v>
      </x:c>
      <x:c r="C103" s="33" t="str">
        <x:v>V800</x:v>
      </x:c>
      <x:c r="D103" s="33" t="str">
        <x:v>שואב אבק אלחוטי UWANT V800 עם עמדת ריקון וניקוי עצמי אוטומטית בעוצמת שאיבה של 320AW | יבואן רשמי-משלוח מהיר ₪2325</x:v>
      </x:c>
      <x:c r="E103" s="39" t="n">
        <x:v>2325</x:v>
      </x:c>
      <x:c r="F103" s="39"/>
      <x:c r="G103" s="39"/>
      <x:c r="H103" s="33" t="str">
        <x:v>במלאי</x:v>
      </x:c>
      <x:c r="I103" s="33" t="str">
        <x:v>מכשיר</x:v>
      </x:c>
      <x:c r="J103" s="33" t="e">
        <x:f>HYPERLINK("https://www.citydeal.co.il/product/uwant-v800","פתח דף מוצר")</x:f>
        <x:v>HYPERLINK is not implemented. linkLocation=https://www.citydeal.co.il/product/uwant-v800, friendlyName=פתח דף מוצר</x:v>
      </x:c>
      <x:c r="K103" s="33" t="str">
        <x:v>דף מוצר חי 09.08.2026</x:v>
      </x:c>
      <x:c r="L103" s="33" t="str"/>
      <x:c r="M103" s="34" t="str">
        <x:v>09.08.2026 09:01 (Asia/Jerusalem)</x:v>
      </x:c>
    </x:row>
    <x:row r="104">
      <x:c r="A104" s="32" t="str">
        <x:v>City Deal</x:v>
      </x:c>
      <x:c r="B104" s="33" t="n">
        <x:v>13</x:v>
      </x:c>
      <x:c r="C104" s="33" t="str">
        <x:v>Y100</x:v>
      </x:c>
      <x:c r="D104" s="33" t="str">
        <x:v>מנקה כתמים רב תכליתי UWANT Y100 בעוצמת 18,000Pa לספות, שטיחים ומזרנים עם ניקוי עצמי | יבואן רשמי-משלוח מהיר ₪589</x:v>
      </x:c>
      <x:c r="E104" s="39" t="n">
        <x:v>589</x:v>
      </x:c>
      <x:c r="F104" s="39"/>
      <x:c r="G104" s="39"/>
      <x:c r="H104" s="33" t="str">
        <x:v>במלאי</x:v>
      </x:c>
      <x:c r="I104" s="33" t="str">
        <x:v>מכשיר</x:v>
      </x:c>
      <x:c r="J104" s="33" t="e">
        <x:f>HYPERLINK("https://www.citydeal.co.il/product/uwant-y100","פתח דף מוצר")</x:f>
        <x:v>HYPERLINK is not implemented. linkLocation=https://www.citydeal.co.il/product/uwant-y100, friendlyName=פתח דף מוצר</x:v>
      </x:c>
      <x:c r="K104" s="33" t="str">
        <x:v>דף מוצר חי 09.08.2026</x:v>
      </x:c>
      <x:c r="L104" s="33" t="str"/>
      <x:c r="M104" s="34" t="str">
        <x:v>09.08.2026 09:01 (Asia/Jerusalem)</x:v>
      </x:c>
    </x:row>
    <x:row r="105">
      <x:c r="A105" s="32" t="str">
        <x:v>City Deal</x:v>
      </x:c>
      <x:c r="B105" s="33" t="n">
        <x:v>14</x:v>
      </x:c>
      <x:c r="C105" s="33" t="str">
        <x:v>Y100 Steam</x:v>
      </x:c>
      <x:c r="D105" s="33" t="str">
        <x:v>מנקה כתמים וריפודים UWANT Y100 Steam עם קיטור 100 מעלות ועוצמת יניקה 18,000PA | יבואן רשמי-משלוח מהיר ₪914</x:v>
      </x:c>
      <x:c r="E105" s="39" t="n">
        <x:v>905</x:v>
      </x:c>
      <x:c r="F105" s="39"/>
      <x:c r="G105" s="39"/>
      <x:c r="H105" s="33" t="str">
        <x:v>במלאי</x:v>
      </x:c>
      <x:c r="I105" s="33" t="str">
        <x:v>מכשיר</x:v>
      </x:c>
      <x:c r="J105" s="33" t="e">
        <x:f>HYPERLINK("https://www.citydeal.co.il/product/uwant-y100-steam-stain-cleaner","פתח דף מוצר")</x:f>
        <x:v>HYPERLINK is not implemented. linkLocation=https://www.citydeal.co.il/product/uwant-y100-steam-stain-cleaner, friendlyName=פתח דף מוצר</x:v>
      </x:c>
      <x:c r="K105" s="33" t="str">
        <x:v>דף מוצר חי 09.08.2026</x:v>
      </x:c>
      <x:c r="L105" s="33" t="str"/>
      <x:c r="M105" s="34" t="str">
        <x:v>09.08.2026 09:01 (Asia/Jerusalem)</x:v>
      </x:c>
    </x:row>
    <x:row r="106">
      <x:c r="A106" s="32" t="str">
        <x:v>City Deal</x:v>
      </x:c>
      <x:c r="B106" s="33" t="n">
        <x:v>15</x:v>
      </x:c>
      <x:c r="C106" s="33" t="str">
        <x:v>Y200</x:v>
      </x:c>
      <x:c r="D106" s="33" t="str">
        <x:v>מנקה כתמים רב-תכליתי UWANT Y200 לספות ושטיחים בעוצמת 18000Pa כולל ניקוי עצמי | יבואן רשמי ₪459</x:v>
      </x:c>
      <x:c r="E106" s="39" t="n">
        <x:v>459</x:v>
      </x:c>
      <x:c r="F106" s="39"/>
      <x:c r="G106" s="39"/>
      <x:c r="H106" s="33" t="str">
        <x:v>במלאי</x:v>
      </x:c>
      <x:c r="I106" s="33" t="str">
        <x:v>מכשיר</x:v>
      </x:c>
      <x:c r="J106" s="33" t="e">
        <x:f>HYPERLINK("https://www.citydeal.co.il/product/uwant-y200","פתח דף מוצר")</x:f>
        <x:v>HYPERLINK is not implemented. linkLocation=https://www.citydeal.co.il/product/uwant-y200, friendlyName=פתח דף מוצר</x:v>
      </x:c>
      <x:c r="K106" s="33" t="str">
        <x:v>דף מוצר חי 09.08.2026</x:v>
      </x:c>
      <x:c r="L106" s="33" t="str"/>
      <x:c r="M106" s="34" t="str">
        <x:v>09.08.2026 09:01 (Asia/Jerusalem)</x:v>
      </x:c>
    </x:row>
    <x:row r="107">
      <x:c r="A107" s="32" t="str">
        <x:v>City Deal</x:v>
      </x:c>
      <x:c r="B107" s="33" t="n">
        <x:v>16</x:v>
      </x:c>
      <x:c r="C107" s="33" t="str">
        <x:v>Y200 Steam</x:v>
      </x:c>
      <x:c r="D107" s="33" t="str">
        <x:v>מנקה כתמים בקיטור UWANT Y200 Steam שואב ספות 1750W בעוצמת 18000Pa וחיטוי 100°C יבואן רשמי ₪999</x:v>
      </x:c>
      <x:c r="E107" s="39" t="n">
        <x:v>1290</x:v>
      </x:c>
      <x:c r="F107" s="39"/>
      <x:c r="G107" s="39"/>
      <x:c r="H107" s="33" t="str">
        <x:v>במלאי</x:v>
      </x:c>
      <x:c r="I107" s="33" t="str">
        <x:v>מכשיר</x:v>
      </x:c>
      <x:c r="J107" s="33" t="e">
        <x:f>HYPERLINK("https://www.citydeal.co.il/product/y200-steam","פתח דף מוצר")</x:f>
        <x:v>HYPERLINK is not implemented. linkLocation=https://www.citydeal.co.il/product/y200-steam, friendlyName=פתח דף מוצר</x:v>
      </x:c>
      <x:c r="K107" s="33" t="str">
        <x:v>דף מוצר חי 09.08.2026</x:v>
      </x:c>
      <x:c r="L107" s="33" t="str"/>
      <x:c r="M107" s="34" t="str">
        <x:v>09.08.2026 09:01 (Asia/Jerusalem)</x:v>
      </x:c>
    </x:row>
    <x:row r="108">
      <x:c r="A108" s="32" t="str">
        <x:v>Multi Store</x:v>
      </x:c>
      <x:c r="B108" s="33" t="n">
        <x:v>1</x:v>
      </x:c>
      <x:c r="C108" s="33" t="str">
        <x:v>D600</x:v>
      </x:c>
      <x:c r="D108" s="33" t="str">
        <x:v>שואב אבק שוטף אלחוטי יו וונט UWANT דגם D600 ₪1890</x:v>
      </x:c>
      <x:c r="E108" s="39" t="n">
        <x:v>1890</x:v>
      </x:c>
      <x:c r="F108" s="39" t="n">
        <x:v>2690</x:v>
      </x:c>
      <x:c r="G108" s="39"/>
      <x:c r="H108" s="33" t="str">
        <x:v>במלאי</x:v>
      </x:c>
      <x:c r="I108" s="33" t="str">
        <x:v>מכשיר</x:v>
      </x:c>
      <x:c r="J108" s="33" t="e">
        <x:f>HYPERLINK("https://multistore.co.il/product/%d7%a9%d7%95%d7%90%d7%91-%d7%90%d7%91%d7%a7-%d7%a9%d7%95%d7%98%d7%a3-uwant-%d7%93%d7%92%d7%9d-d600-%d7%94%d7%a2%d7%aa%d7%a7/","פתח דף מוצר")</x:f>
        <x:v>HYPERLINK is not implemented. linkLocation=https://multistore.co.il/product/%d7%a9%d7%95%d7%90%d7%91-%d7%90%d7%91%d7%a7-%d7%a9%d7%95%d7%98%d7%a3-uwant-%d7%93%d7%92%d7%9d-d600-%d7%94%d7%a2%d7%aa%d7%a7/, friendlyName=פתח דף מוצר</x:v>
      </x:c>
      <x:c r="K108" s="33" t="str">
        <x:v>דף מוצר חי 09.08.2026</x:v>
      </x:c>
      <x:c r="L108" s="33" t="str"/>
      <x:c r="M108" s="34" t="str">
        <x:v>09.08.2026 09:01 (Asia/Jerusalem)</x:v>
      </x:c>
    </x:row>
    <x:row r="109">
      <x:c r="A109" s="32" t="str">
        <x:v>Multi Store</x:v>
      </x:c>
      <x:c r="B109" s="33" t="n">
        <x:v>2</x:v>
      </x:c>
      <x:c r="C109" s="33" t="str">
        <x:v>D700</x:v>
      </x:c>
      <x:c r="D109" s="33" t="str">
        <x:v>שואב אבק שוטף אלחוטי יו וונט UWANT דגם D700 PRO ₪1990</x:v>
      </x:c>
      <x:c r="E109" s="39" t="n">
        <x:v>1990</x:v>
      </x:c>
      <x:c r="F109" s="39" t="n">
        <x:v>2990</x:v>
      </x:c>
      <x:c r="G109" s="39"/>
      <x:c r="H109" s="33" t="str">
        <x:v>במלאי</x:v>
      </x:c>
      <x:c r="I109" s="33" t="str">
        <x:v>מכשיר</x:v>
      </x:c>
      <x:c r="J109" s="33" t="e">
        <x:f>HYPERLINK("https://multistore.co.il/product/uwant-d700pro-%d7%a9%d7%95%d7%90%d7%91-%d7%a9%d7%95%d7%98%d7%a3/","פתח דף מוצר")</x:f>
        <x:v>HYPERLINK is not implemented. linkLocation=https://multistore.co.il/product/uwant-d700pro-%d7%a9%d7%95%d7%90%d7%91-%d7%a9%d7%95%d7%98%d7%a3/, friendlyName=פתח דף מוצר</x:v>
      </x:c>
      <x:c r="K109" s="33" t="str">
        <x:v>דף מוצר חי 09.08.2026</x:v>
      </x:c>
      <x:c r="L109" s="33" t="str"/>
      <x:c r="M109" s="34" t="str">
        <x:v>09.08.2026 09:01 (Asia/Jerusalem)</x:v>
      </x:c>
    </x:row>
    <x:row r="110">
      <x:c r="A110" s="32" t="str">
        <x:v>Multi Store</x:v>
      </x:c>
      <x:c r="B110" s="33" t="n">
        <x:v>3</x:v>
      </x:c>
      <x:c r="C110" s="33" t="str">
        <x:v>DX800</x:v>
      </x:c>
      <x:c r="D110" s="33" t="str">
        <x:v>UWANT DX800 Steam שואב שוטף עם ניקוי קיטור ₪2690</x:v>
      </x:c>
      <x:c r="E110" s="39" t="n">
        <x:v>2649</x:v>
      </x:c>
      <x:c r="F110" s="39" t="n">
        <x:v>3190</x:v>
      </x:c>
      <x:c r="G110" s="39"/>
      <x:c r="H110" s="33" t="str">
        <x:v>במלאי</x:v>
      </x:c>
      <x:c r="I110" s="33" t="str">
        <x:v>מכשיר</x:v>
      </x:c>
      <x:c r="J110" s="33" t="e">
        <x:f>HYPERLINK("https://multistore.co.il/product/%d7%a9%d7%95%d7%90%d7%91-%d7%90%d7%9c%d7%97%d7%95%d7%98%d7%99-%d7%a9%d7%95%d7%98%d7%a3-%d7%a2%d7%9d-%d7%a0%d7%99%d7%a7%d7%95%d7%99-%d7%91%d7%a7%d7%99%d7%98%d7%95%d7%a8-%d7%93%d7%92%d7%9d-uwant-dx800-s/","פתח דף מוצר")</x:f>
        <x:v>HYPERLINK is not implemented. linkLocation=https://multistore.co.il/product/%d7%a9%d7%95%d7%90%d7%91-%d7%90%d7%9c%d7%97%d7%95%d7%98%d7%99-%d7%a9%d7%95%d7%98%d7%a3-%d7%a2%d7%9d-%d7%a0%d7%99%d7%a7%d7%95%d7%99-%d7%91%d7%a7%d7%99%d7%98%d7%95%d7%a8-%d7%93%d7%92%d7%9d-uwant-dx800-s/, friendlyName=פתח דף מוצר</x:v>
      </x:c>
      <x:c r="K110" s="33" t="str">
        <x:v>דף מוצר חי 09.08.2026</x:v>
      </x:c>
      <x:c r="L110" s="33" t="str"/>
      <x:c r="M110" s="34" t="str">
        <x:v>09.08.2026 09:01 (Asia/Jerusalem)</x:v>
      </x:c>
    </x:row>
    <x:row r="111">
      <x:c r="A111" s="32" t="str">
        <x:v>Multi Store</x:v>
      </x:c>
      <x:c r="B111" s="33" t="n">
        <x:v>4</x:v>
      </x:c>
      <x:c r="C111" s="33" t="str">
        <x:v>M600</x:v>
      </x:c>
      <x:c r="D111" s="33" t="str">
        <x:v>שואב ומחטא מזרונים וספות M600 לבן יו וואנט UWANT ₪699</x:v>
      </x:c>
      <x:c r="E111" s="39" t="n">
        <x:v>649</x:v>
      </x:c>
      <x:c r="F111" s="39" t="n">
        <x:v>899</x:v>
      </x:c>
      <x:c r="G111" s="39"/>
      <x:c r="H111" s="33" t="str">
        <x:v>במלאי</x:v>
      </x:c>
      <x:c r="I111" s="33" t="str">
        <x:v>מכשיר</x:v>
      </x:c>
      <x:c r="J111" s="33" t="e">
        <x:f>HYPERLINK("https://multistore.co.il/product/%d7%a9%d7%95%d7%90%d7%91-%d7%95%d7%9e%d7%97%d7%98%d7%90-%d7%9e%d7%96%d7%a8%d7%95%d7%a0%d7%99%d7%9d-%d7%95%d7%a1%d7%a4%d7%95%d7%aa-m600-%d7%9c%d7%91%d7%9f-%d7%99%d7%95-%d7%95%d7%95%d7%90%d7%a0%d7%98-uw/","פתח דף מוצר")</x:f>
        <x:v>HYPERLINK is not implemented. linkLocation=https://multistore.co.il/product/%d7%a9%d7%95%d7%90%d7%91-%d7%95%d7%9e%d7%97%d7%98%d7%90-%d7%9e%d7%96%d7%a8%d7%95%d7%a0%d7%99%d7%9d-%d7%95%d7%a1%d7%a4%d7%95%d7%aa-m600-%d7%9c%d7%91%d7%9f-%d7%99%d7%95-%d7%95%d7%95%d7%90%d7%a0%d7%98-uw/, friendlyName=פתח דף מוצר</x:v>
      </x:c>
      <x:c r="K111" s="33" t="str">
        <x:v>דף מוצר חי 09.08.2026</x:v>
      </x:c>
      <x:c r="L111" s="33" t="str"/>
      <x:c r="M111" s="34" t="str">
        <x:v>09.08.2026 09:01 (Asia/Jerusalem)</x:v>
      </x:c>
    </x:row>
    <x:row r="112">
      <x:c r="A112" s="32" t="str">
        <x:v>Multi Store</x:v>
      </x:c>
      <x:c r="B112" s="33" t="n">
        <x:v>5</x:v>
      </x:c>
      <x:c r="C112" s="33" t="str">
        <x:v>T300</x:v>
      </x:c>
      <x:c r="D112" s="33" t="str">
        <x:v>שואב אבק רובוטי שוטף מקרצף יוונט uwant T300 ₪3190</x:v>
      </x:c>
      <x:c r="E112" s="39" t="n">
        <x:v>3190</x:v>
      </x:c>
      <x:c r="F112" s="39" t="n">
        <x:v>4290</x:v>
      </x:c>
      <x:c r="G112" s="39"/>
      <x:c r="H112" s="33" t="str">
        <x:v>במלאי</x:v>
      </x:c>
      <x:c r="I112" s="33" t="str">
        <x:v>מכשיר</x:v>
      </x:c>
      <x:c r="J112" s="33" t="e">
        <x:f>HYPERLINK("https://multistore.co.il/product/uwant-t300-%d7%a9%d7%95%d7%90%d7%91-%d7%a9%d7%95%d7%98%d7%a3-%d7%a8%d7%95%d7%91%d7%95%d7%98%d7%99-%d7%97%d7%9b%d7%9d/","פתח דף מוצר")</x:f>
        <x:v>HYPERLINK is not implemented. linkLocation=https://multistore.co.il/product/uwant-t300-%d7%a9%d7%95%d7%90%d7%91-%d7%a9%d7%95%d7%98%d7%a3-%d7%a8%d7%95%d7%91%d7%95%d7%98%d7%99-%d7%97%d7%9b%d7%9d/, friendlyName=פתח דף מוצר</x:v>
      </x:c>
      <x:c r="K112" s="33" t="str">
        <x:v>דף מוצר חי 09.08.2026</x:v>
      </x:c>
      <x:c r="L112" s="33" t="str"/>
      <x:c r="M112" s="34" t="str">
        <x:v>09.08.2026 09:01 (Asia/Jerusalem)</x:v>
      </x:c>
    </x:row>
    <x:row r="113">
      <x:c r="A113" s="32" t="str">
        <x:v>Multi Store</x:v>
      </x:c>
      <x:c r="B113" s="33" t="n">
        <x:v>6</x:v>
      </x:c>
      <x:c r="C113" s="33" t="str">
        <x:v>U300 V25</x:v>
      </x:c>
      <x:c r="D113" s="33" t="str">
        <x:v>שואב אבק רובוטי שוטף מקרצף UWANT יוונט U300 V25 ₪2190</x:v>
      </x:c>
      <x:c r="E113" s="39" t="n">
        <x:v>2190</x:v>
      </x:c>
      <x:c r="F113" s="39" t="n">
        <x:v>3590</x:v>
      </x:c>
      <x:c r="G113" s="39"/>
      <x:c r="H113" s="33" t="str">
        <x:v>במלאי</x:v>
      </x:c>
      <x:c r="I113" s="33" t="str">
        <x:v>מכשיר</x:v>
      </x:c>
      <x:c r="J113" s="33" t="e">
        <x:f>HYPERLINK("https://multistore.co.il/product/%d7%a9%d7%95%d7%90%d7%91-%d7%a8%d7%95%d7%91%d7%95%d7%98%d7%99-%d7%a9%d7%95%d7%98%d7%a3-%d7%9e%d7%a7%d7%a8%d7%a6%d7%a3-uwant-u300-v25/","פתח דף מוצר")</x:f>
        <x:v>HYPERLINK is not implemented. linkLocation=https://multistore.co.il/product/%d7%a9%d7%95%d7%90%d7%91-%d7%a8%d7%95%d7%91%d7%95%d7%98%d7%99-%d7%a9%d7%95%d7%98%d7%a3-%d7%9e%d7%a7%d7%a8%d7%a6%d7%a3-uwant-u300-v25/, friendlyName=פתח דף מוצר</x:v>
      </x:c>
      <x:c r="K113" s="33" t="str">
        <x:v>דף מוצר חי 09.08.2026</x:v>
      </x:c>
      <x:c r="L113" s="33" t="str"/>
      <x:c r="M113" s="34" t="str">
        <x:v>09.08.2026 09:01 (Asia/Jerusalem)</x:v>
      </x:c>
    </x:row>
    <x:row r="114">
      <x:c r="A114" s="32" t="str">
        <x:v>Multi Store</x:v>
      </x:c>
      <x:c r="B114" s="33" t="n">
        <x:v>7</x:v>
      </x:c>
      <x:c r="C114" s="33" t="str">
        <x:v>V800</x:v>
      </x:c>
      <x:c r="D114" s="33" t="str">
        <x:v>שואב אלחוטי עם עמדת ריקון וניקוי עצמי UWANT V800 ₪2590</x:v>
      </x:c>
      <x:c r="E114" s="39" t="n">
        <x:v>2295</x:v>
      </x:c>
      <x:c r="F114" s="39" t="n">
        <x:v>3190</x:v>
      </x:c>
      <x:c r="G114" s="39"/>
      <x:c r="H114" s="33" t="str">
        <x:v>במלאי</x:v>
      </x:c>
      <x:c r="I114" s="33" t="str">
        <x:v>מכשיר</x:v>
      </x:c>
      <x:c r="J114" s="33" t="e">
        <x:f>HYPERLINK("https://multistore.co.il/product/%d7%a9%d7%95%d7%90%d7%91-%d7%90%d7%91%d7%a7-%d7%90%d7%9c%d7%97%d7%95%d7%98%d7%99-uwant-v100-%d7%a2%d7%95%d7%a6%d7%9e%d7%aa-%d7%a9%d7%90%d7%99%d7%91%d7%94-320aw-%d7%a2%d7%9d-%d7%a8%d7%99/","פתח דף מוצר")</x:f>
        <x:v>HYPERLINK is not implemented. linkLocation=https://multistore.co.il/product/%d7%a9%d7%95%d7%90%d7%91-%d7%90%d7%91%d7%a7-%d7%90%d7%9c%d7%97%d7%95%d7%98%d7%99-uwant-v100-%d7%a2%d7%95%d7%a6%d7%9e%d7%aa-%d7%a9%d7%90%d7%99%d7%91%d7%94-320aw-%d7%a2%d7%9d-%d7%a8%d7%99/, friendlyName=פתח דף מוצר</x:v>
      </x:c>
      <x:c r="K114" s="33" t="str">
        <x:v>דף מוצר חי 09.08.2026</x:v>
      </x:c>
      <x:c r="L114" s="33" t="str"/>
      <x:c r="M114" s="34" t="str">
        <x:v>09.08.2026 09:01 (Asia/Jerusalem)</x:v>
      </x:c>
    </x:row>
    <x:row r="115">
      <x:c r="A115" s="32" t="str">
        <x:v>Multi Store</x:v>
      </x:c>
      <x:c r="B115" s="33" t="n">
        <x:v>8</x:v>
      </x:c>
      <x:c r="C115" s="33" t="str">
        <x:v>Y100</x:v>
      </x:c>
      <x:c r="D115" s="33" t="str">
        <x:v>מכשיר לניקוי כתמים רב תכליתי יו וואנט UWANT Y100 ₪489</x:v>
      </x:c>
      <x:c r="E115" s="39" t="n">
        <x:v>489</x:v>
      </x:c>
      <x:c r="F115" s="39" t="n">
        <x:v>749</x:v>
      </x:c>
      <x:c r="G115" s="39"/>
      <x:c r="H115" s="33" t="str">
        <x:v>במלאי</x:v>
      </x:c>
      <x:c r="I115" s="33" t="str">
        <x:v>מכשיר</x:v>
      </x:c>
      <x:c r="J115" s="33" t="e">
        <x:f>HYPERLINK("https://multistore.co.il/product/uwant-y100-%d7%9e%d7%a0%d7%a7%d7%94-%d7%9b%d7%aa%d7%9e%d7%99%d7%9d-%d7%a9%d7%95%d7%90%d7%91-%d7%a9%d7%98%d7%99%d7%a4%d7%94/","פתח דף מוצר")</x:f>
        <x:v>HYPERLINK is not implemented. linkLocation=https://multistore.co.il/product/uwant-y100-%d7%9e%d7%a0%d7%a7%d7%94-%d7%9b%d7%aa%d7%9e%d7%99%d7%9d-%d7%a9%d7%95%d7%90%d7%91-%d7%a9%d7%98%d7%99%d7%a4%d7%94/, friendlyName=פתח דף מוצר</x:v>
      </x:c>
      <x:c r="K115" s="33" t="str">
        <x:v>דף מוצר חי 09.08.2026</x:v>
      </x:c>
      <x:c r="L115" s="33" t="str"/>
      <x:c r="M115" s="34" t="str">
        <x:v>09.08.2026 09:01 (Asia/Jerusalem)</x:v>
      </x:c>
    </x:row>
    <x:row r="116">
      <x:c r="A116" s="32" t="str">
        <x:v>Multi Store</x:v>
      </x:c>
      <x:c r="B116" s="33" t="n">
        <x:v>9</x:v>
      </x:c>
      <x:c r="C116" s="33" t="str">
        <x:v>Y100 Steam</x:v>
      </x:c>
      <x:c r="D116" s="33" t="str">
        <x:v>מנקה כתמים רב תכליתי עם קיטור דגם UWANT Y100 Steam ₪799</x:v>
      </x:c>
      <x:c r="E116" s="39" t="n">
        <x:v>799</x:v>
      </x:c>
      <x:c r="F116" s="39" t="n">
        <x:v>1500</x:v>
      </x:c>
      <x:c r="G116" s="39"/>
      <x:c r="H116" s="33" t="str">
        <x:v>במלאי</x:v>
      </x:c>
      <x:c r="I116" s="33" t="str">
        <x:v>מכשיר</x:v>
      </x:c>
      <x:c r="J116" s="33" t="e">
        <x:f>HYPERLINK("https://multistore.co.il/product/%d7%9e%d7%a0%d7%a7%d7%94-%d7%9b%d7%aa%d7%9e%d7%99%d7%9d-%d7%a8%d7%91-%d7%aa%d7%9b%d7%9c%d7%99%d7%aa%d7%99-%d7%a2%d7%9d-%d7%a7%d7%99%d7%98%d7%95%d7%a8-%d7%93%d7%92%d7%9d-uwant-y100-steam/","פתח דף מוצר")</x:f>
        <x:v>HYPERLINK is not implemented. linkLocation=https://multistore.co.il/product/%d7%9e%d7%a0%d7%a7%d7%94-%d7%9b%d7%aa%d7%9e%d7%99%d7%9d-%d7%a8%d7%91-%d7%aa%d7%9b%d7%9c%d7%99%d7%aa%d7%99-%d7%a2%d7%9d-%d7%a7%d7%99%d7%98%d7%95%d7%a8-%d7%93%d7%92%d7%9d-uwant-y100-steam/, friendlyName=פתח דף מוצר</x:v>
      </x:c>
      <x:c r="K116" s="33" t="str">
        <x:v>דף מוצר חי 09.08.2026</x:v>
      </x:c>
      <x:c r="L116" s="33" t="str"/>
      <x:c r="M116" s="34" t="str">
        <x:v>09.08.2026 09:01 (Asia/Jerusalem)</x:v>
      </x:c>
    </x:row>
    <x:row r="117">
      <x:c r="A117" s="32" t="str">
        <x:v>UWANT IL</x:v>
      </x:c>
      <x:c r="B117" s="33" t="n">
        <x:v>1</x:v>
      </x:c>
      <x:c r="C117" s="33" t="str">
        <x:v>D500</x:v>
      </x:c>
      <x:c r="D117" s="33" t="str">
        <x:v>UWANT D500 שואב שוטף ₪899</x:v>
      </x:c>
      <x:c r="E117" s="39" t="n">
        <x:v>899</x:v>
      </x:c>
      <x:c r="F117" s="39" t="n">
        <x:v>1390</x:v>
      </x:c>
      <x:c r="G117" s="39"/>
      <x:c r="H117" s="33" t="str">
        <x:v>במלאי</x:v>
      </x:c>
      <x:c r="I117" s="33" t="str">
        <x:v>מכשיר</x:v>
      </x:c>
      <x:c r="J117" s="33" t="e">
        <x:f>HYPERLINK("https://www.uwant.co.il/products/d500","פתח דף מוצר")</x:f>
        <x:v>HYPERLINK is not implemented. linkLocation=https://www.uwant.co.il/products/d500, friendlyName=פתח דף מוצר</x:v>
      </x:c>
      <x:c r="K117" s="33" t="str">
        <x:v>דף מוצר חי 09.08.2026</x:v>
      </x:c>
      <x:c r="L117" s="33" t="str"/>
      <x:c r="M117" s="34" t="str">
        <x:v>09.08.2026 09:01 (Asia/Jerusalem)</x:v>
      </x:c>
    </x:row>
    <x:row r="118">
      <x:c r="A118" s="32" t="str">
        <x:v>UWANT IL</x:v>
      </x:c>
      <x:c r="B118" s="33" t="n">
        <x:v>2</x:v>
      </x:c>
      <x:c r="C118" s="33" t="str">
        <x:v>D600</x:v>
      </x:c>
      <x:c r="D118" s="33" t="str">
        <x:v>UWANT D600 שואב שוטף ₪1490</x:v>
      </x:c>
      <x:c r="E118" s="39" t="n">
        <x:v>1490</x:v>
      </x:c>
      <x:c r="F118" s="39" t="n">
        <x:v>2190</x:v>
      </x:c>
      <x:c r="G118" s="39"/>
      <x:c r="H118" s="33" t="str">
        <x:v>במלאי</x:v>
      </x:c>
      <x:c r="I118" s="33" t="str">
        <x:v>מכשיר</x:v>
      </x:c>
      <x:c r="J118" s="33" t="e">
        <x:f>HYPERLINK("https://www.uwant.co.il/products/d600","פתח דף מוצר")</x:f>
        <x:v>HYPERLINK is not implemented. linkLocation=https://www.uwant.co.il/products/d600, friendlyName=פתח דף מוצר</x:v>
      </x:c>
      <x:c r="K118" s="33" t="str">
        <x:v>דף מוצר חי 09.08.2026</x:v>
      </x:c>
      <x:c r="L118" s="33" t="str"/>
      <x:c r="M118" s="34" t="str">
        <x:v>09.08.2026 09:01 (Asia/Jerusalem)</x:v>
      </x:c>
    </x:row>
    <x:row r="119">
      <x:c r="A119" s="32" t="str">
        <x:v>UWANT IL</x:v>
      </x:c>
      <x:c r="B119" s="33" t="n">
        <x:v>3</x:v>
      </x:c>
      <x:c r="C119" s="33" t="str">
        <x:v>D700</x:v>
      </x:c>
      <x:c r="D119" s="33" t="str">
        <x:v>UWANT D700 Pro שואב שוטף מתקדם ₪1990</x:v>
      </x:c>
      <x:c r="E119" s="39" t="n">
        <x:v>1990</x:v>
      </x:c>
      <x:c r="F119" s="39" t="n">
        <x:v>2690</x:v>
      </x:c>
      <x:c r="G119" s="39"/>
      <x:c r="H119" s="33" t="str">
        <x:v>במלאי</x:v>
      </x:c>
      <x:c r="I119" s="33" t="str">
        <x:v>מכשיר</x:v>
      </x:c>
      <x:c r="J119" s="33" t="e">
        <x:f>HYPERLINK("https://www.uwant.co.il/products/d700-pro","פתח דף מוצר")</x:f>
        <x:v>HYPERLINK is not implemented. linkLocation=https://www.uwant.co.il/products/d700-pro, friendlyName=פתח דף מוצר</x:v>
      </x:c>
      <x:c r="K119" s="33" t="str">
        <x:v>דף מוצר חי 09.08.2026</x:v>
      </x:c>
      <x:c r="L119" s="33" t="str"/>
      <x:c r="M119" s="34" t="str">
        <x:v>09.08.2026 09:01 (Asia/Jerusalem)</x:v>
      </x:c>
    </x:row>
    <x:row r="120">
      <x:c r="A120" s="32" t="str">
        <x:v>UWANT IL</x:v>
      </x:c>
      <x:c r="B120" s="33" t="n">
        <x:v>4</x:v>
      </x:c>
      <x:c r="C120" s="33" t="str">
        <x:v>DX800</x:v>
      </x:c>
      <x:c r="D120" s="33" t="str">
        <x:v>UWANT DX800 Steam שואב שוטף עם ניקוי קיטור ₪2750</x:v>
      </x:c>
      <x:c r="E120" s="39" t="n">
        <x:v>2750</x:v>
      </x:c>
      <x:c r="F120" s="39"/>
      <x:c r="G120" s="39"/>
      <x:c r="H120" s="33" t="str">
        <x:v>במלאי</x:v>
      </x:c>
      <x:c r="I120" s="33" t="str">
        <x:v>מכשיר</x:v>
      </x:c>
      <x:c r="J120" s="33" t="e">
        <x:f>HYPERLINK("https://www.uwant.co.il/products/uwant-dx800-steam","פתח דף מוצר")</x:f>
        <x:v>HYPERLINK is not implemented. linkLocation=https://www.uwant.co.il/products/uwant-dx800-steam, friendlyName=פתח דף מוצר</x:v>
      </x:c>
      <x:c r="K120" s="33" t="str">
        <x:v>דף מוצר חי 09.08.2026</x:v>
      </x:c>
      <x:c r="L120" s="33" t="str"/>
      <x:c r="M120" s="34" t="str">
        <x:v>09.08.2026 09:01 (Asia/Jerusalem)</x:v>
      </x:c>
    </x:row>
    <x:row r="121">
      <x:c r="A121" s="32" t="str">
        <x:v>UWANT IL</x:v>
      </x:c>
      <x:c r="B121" s="33" t="n">
        <x:v>5</x:v>
      </x:c>
      <x:c r="C121" s="33" t="str">
        <x:v>M400</x:v>
      </x:c>
      <x:c r="D121" s="33" t="str">
        <x:v>UWANT M400 שואב מזרנים עוצמתי עם טכנולוגיית Dual StaticHair ₪455</x:v>
      </x:c>
      <x:c r="E121" s="39" t="n">
        <x:v>455</x:v>
      </x:c>
      <x:c r="F121" s="39"/>
      <x:c r="G121" s="39"/>
      <x:c r="H121" s="33" t="str">
        <x:v>במלאי</x:v>
      </x:c>
      <x:c r="I121" s="33" t="str">
        <x:v>מכשיר</x:v>
      </x:c>
      <x:c r="J121" s="33" t="e">
        <x:f>HYPERLINK("https://www.uwant.co.il/products/m400","פתח דף מוצר")</x:f>
        <x:v>HYPERLINK is not implemented. linkLocation=https://www.uwant.co.il/products/m400, friendlyName=פתח דף מוצר</x:v>
      </x:c>
      <x:c r="K121" s="33" t="str">
        <x:v>דף מוצר חי 09.08.2026</x:v>
      </x:c>
      <x:c r="L121" s="33" t="str"/>
      <x:c r="M121" s="34" t="str">
        <x:v>09.08.2026 09:01 (Asia/Jerusalem)</x:v>
      </x:c>
    </x:row>
    <x:row r="122">
      <x:c r="A122" s="32" t="str">
        <x:v>UWANT IL</x:v>
      </x:c>
      <x:c r="B122" s="33" t="n">
        <x:v>6</x:v>
      </x:c>
      <x:c r="C122" s="33" t="str">
        <x:v>M500</x:v>
      </x:c>
      <x:c r="D122" s="33" t="str">
        <x:v>UWANT M500 שואב מזרנים עוצמתי עם טכנולוגיית UltraSonic לנטרול קרדית אבק ₪599</x:v>
      </x:c>
      <x:c r="E122" s="39" t="n">
        <x:v>599</x:v>
      </x:c>
      <x:c r="F122" s="39"/>
      <x:c r="G122" s="39"/>
      <x:c r="H122" s="33" t="str">
        <x:v>במלאי</x:v>
      </x:c>
      <x:c r="I122" s="33" t="str">
        <x:v>מכשיר</x:v>
      </x:c>
      <x:c r="J122" s="33" t="e">
        <x:f>HYPERLINK("https://www.uwant.co.il/products/uwant-m500-mite-removal","פתח דף מוצר")</x:f>
        <x:v>HYPERLINK is not implemented. linkLocation=https://www.uwant.co.il/products/uwant-m500-mite-removal, friendlyName=פתח דף מוצר</x:v>
      </x:c>
      <x:c r="K122" s="33" t="str">
        <x:v>דף מוצר חי 09.08.2026</x:v>
      </x:c>
      <x:c r="L122" s="33" t="str"/>
      <x:c r="M122" s="34" t="str">
        <x:v>09.08.2026 09:01 (Asia/Jerusalem)</x:v>
      </x:c>
    </x:row>
    <x:row r="123">
      <x:c r="A123" s="32" t="str">
        <x:v>UWANT IL</x:v>
      </x:c>
      <x:c r="B123" s="33" t="n">
        <x:v>7</x:v>
      </x:c>
      <x:c r="C123" s="33" t="str">
        <x:v>M600</x:v>
      </x:c>
      <x:c r="D123" s="33" t="str">
        <x:v>UWANT M600 שואב עוצמתי לנטרול קרדית אבק ₪699</x:v>
      </x:c>
      <x:c r="E123" s="39" t="n">
        <x:v>699</x:v>
      </x:c>
      <x:c r="F123" s="39"/>
      <x:c r="G123" s="39"/>
      <x:c r="H123" s="33" t="str">
        <x:v>במלאי</x:v>
      </x:c>
      <x:c r="I123" s="33" t="str">
        <x:v>מכשיר</x:v>
      </x:c>
      <x:c r="J123" s="33" t="e">
        <x:f>HYPERLINK("https://www.uwant.co.il/products/uwant-m600-mite-removal","פתח דף מוצר")</x:f>
        <x:v>HYPERLINK is not implemented. linkLocation=https://www.uwant.co.il/products/uwant-m600-mite-removal, friendlyName=פתח דף מוצר</x:v>
      </x:c>
      <x:c r="K123" s="33" t="str">
        <x:v>דף מוצר חי 09.08.2026</x:v>
      </x:c>
      <x:c r="L123" s="33" t="str"/>
      <x:c r="M123" s="34" t="str">
        <x:v>09.08.2026 09:01 (Asia/Jerusalem)</x:v>
      </x:c>
    </x:row>
    <x:row r="124">
      <x:c r="A124" s="32" t="str">
        <x:v>UWANT IL</x:v>
      </x:c>
      <x:c r="B124" s="33" t="n">
        <x:v>8</x:v>
      </x:c>
      <x:c r="C124" s="33" t="str">
        <x:v>T300</x:v>
      </x:c>
      <x:c r="D124" s="33" t="str">
        <x:v>UWANT T300 רובוט שואב שוטף ₪3790</x:v>
      </x:c>
      <x:c r="E124" s="39" t="n">
        <x:v>3590</x:v>
      </x:c>
      <x:c r="F124" s="39"/>
      <x:c r="G124" s="39"/>
      <x:c r="H124" s="33" t="str">
        <x:v>במלאי</x:v>
      </x:c>
      <x:c r="I124" s="33" t="str">
        <x:v>מכשיר</x:v>
      </x:c>
      <x:c r="J124" s="33" t="e">
        <x:f>HYPERLINK("https://www.uwant.co.il/products/uwant-t300-robot-vacuum","פתח דף מוצר")</x:f>
        <x:v>HYPERLINK is not implemented. linkLocation=https://www.uwant.co.il/products/uwant-t300-robot-vacuum, friendlyName=פתח דף מוצר</x:v>
      </x:c>
      <x:c r="K124" s="33" t="str">
        <x:v>דף מוצר חי 09.08.2026</x:v>
      </x:c>
      <x:c r="L124" s="33" t="str"/>
      <x:c r="M124" s="34" t="str">
        <x:v>09.08.2026 09:01 (Asia/Jerusalem)</x:v>
      </x:c>
    </x:row>
    <x:row r="125">
      <x:c r="A125" s="32" t="str">
        <x:v>UWANT IL</x:v>
      </x:c>
      <x:c r="B125" s="33" t="n">
        <x:v>9</x:v>
      </x:c>
      <x:c r="C125" s="33" t="str">
        <x:v>U300 V25</x:v>
      </x:c>
      <x:c r="D125" s="33" t="str">
        <x:v>UWANT U300 V25 רובוט שואב שוטף ₪2690</x:v>
      </x:c>
      <x:c r="E125" s="39" t="n">
        <x:v>2690</x:v>
      </x:c>
      <x:c r="F125" s="39" t="n">
        <x:v>3990</x:v>
      </x:c>
      <x:c r="G125" s="39"/>
      <x:c r="H125" s="33" t="str">
        <x:v>במלאי</x:v>
      </x:c>
      <x:c r="I125" s="33" t="str">
        <x:v>מכשיר</x:v>
      </x:c>
      <x:c r="J125" s="33" t="e">
        <x:f>HYPERLINK("https://www.uwant.co.il/products/u300","פתח דף מוצר")</x:f>
        <x:v>HYPERLINK is not implemented. linkLocation=https://www.uwant.co.il/products/u300, friendlyName=פתח דף מוצר</x:v>
      </x:c>
      <x:c r="K125" s="33" t="str">
        <x:v>דף מוצר חי 09.08.2026</x:v>
      </x:c>
      <x:c r="L125" s="33" t="str"/>
      <x:c r="M125" s="34" t="str">
        <x:v>09.08.2026 09:01 (Asia/Jerusalem)</x:v>
      </x:c>
    </x:row>
    <x:row r="126">
      <x:c r="A126" s="32" t="str">
        <x:v>UWANT IL</x:v>
      </x:c>
      <x:c r="B126" s="33" t="n">
        <x:v>10</x:v>
      </x:c>
      <x:c r="C126" s="33" t="str">
        <x:v>U400</x:v>
      </x:c>
      <x:c r="D126" s="33" t="str">
        <x:v>UWANT U400 רובוט שואב שוטף עם שטיפה במים חמים (80°ⅽ) ומערכת מילוי וריקון היברידית ₪4390</x:v>
      </x:c>
      <x:c r="E126" s="39" t="n">
        <x:v>4390</x:v>
      </x:c>
      <x:c r="F126" s="39"/>
      <x:c r="G126" s="39"/>
      <x:c r="H126" s="33" t="str">
        <x:v>במלאי</x:v>
      </x:c>
      <x:c r="I126" s="33" t="str">
        <x:v>מכשיר</x:v>
      </x:c>
      <x:c r="J126" s="33" t="e">
        <x:f>HYPERLINK("https://www.uwant.co.il/products/uwant-u400","פתח דף מוצר")</x:f>
        <x:v>HYPERLINK is not implemented. linkLocation=https://www.uwant.co.il/products/uwant-u400, friendlyName=פתח דף מוצר</x:v>
      </x:c>
      <x:c r="K126" s="33" t="str">
        <x:v>דף מוצר חי 09.08.2026</x:v>
      </x:c>
      <x:c r="L126" s="33" t="str"/>
      <x:c r="M126" s="34" t="str">
        <x:v>09.08.2026 09:01 (Asia/Jerusalem)</x:v>
      </x:c>
    </x:row>
    <x:row r="127">
      <x:c r="A127" s="32" t="str">
        <x:v>UWANT IL</x:v>
      </x:c>
      <x:c r="B127" s="33" t="n">
        <x:v>11</x:v>
      </x:c>
      <x:c r="C127" s="33" t="str">
        <x:v>V500</x:v>
      </x:c>
      <x:c r="D127" s="33" t="str">
        <x:v>UWANT V500 שואב אלחוטי עם עמדת ניקוי עצמי ₪899</x:v>
      </x:c>
      <x:c r="E127" s="39" t="n">
        <x:v>899</x:v>
      </x:c>
      <x:c r="F127" s="39" t="n">
        <x:v>1290</x:v>
      </x:c>
      <x:c r="G127" s="39"/>
      <x:c r="H127" s="33" t="str">
        <x:v>במלאי</x:v>
      </x:c>
      <x:c r="I127" s="33" t="str">
        <x:v>מכשיר</x:v>
      </x:c>
      <x:c r="J127" s="33" t="e">
        <x:f>HYPERLINK("https://www.uwant.co.il/products/v500","פתח דף מוצר")</x:f>
        <x:v>HYPERLINK is not implemented. linkLocation=https://www.uwant.co.il/products/v500, friendlyName=פתח דף מוצר</x:v>
      </x:c>
      <x:c r="K127" s="33" t="str">
        <x:v>דף מוצר חי 09.08.2026</x:v>
      </x:c>
      <x:c r="L127" s="33" t="str"/>
      <x:c r="M127" s="34" t="str">
        <x:v>09.08.2026 09:01 (Asia/Jerusalem)</x:v>
      </x:c>
    </x:row>
    <x:row r="128">
      <x:c r="A128" s="32" t="str">
        <x:v>UWANT IL</x:v>
      </x:c>
      <x:c r="B128" s="33" t="n">
        <x:v>12</x:v>
      </x:c>
      <x:c r="C128" s="33" t="str">
        <x:v>V600</x:v>
      </x:c>
      <x:c r="D128" s="33" t="str">
        <x:v>UWANT V600 שואב אלחוטי עם עמדת ניקוי עצמי ₪1490</x:v>
      </x:c>
      <x:c r="E128" s="39" t="n">
        <x:v>1490</x:v>
      </x:c>
      <x:c r="F128" s="39" t="n">
        <x:v>1990</x:v>
      </x:c>
      <x:c r="G128" s="39"/>
      <x:c r="H128" s="33" t="str">
        <x:v>במלאי</x:v>
      </x:c>
      <x:c r="I128" s="33" t="str">
        <x:v>מכשיר</x:v>
      </x:c>
      <x:c r="J128" s="33" t="e">
        <x:f>HYPERLINK("https://www.uwant.co.il/products/v600","פתח דף מוצר")</x:f>
        <x:v>HYPERLINK is not implemented. linkLocation=https://www.uwant.co.il/products/v600, friendlyName=פתח דף מוצר</x:v>
      </x:c>
      <x:c r="K128" s="33" t="str">
        <x:v>דף מוצר חי 09.08.2026</x:v>
      </x:c>
      <x:c r="L128" s="33" t="str"/>
      <x:c r="M128" s="34" t="str">
        <x:v>09.08.2026 09:01 (Asia/Jerusalem)</x:v>
      </x:c>
    </x:row>
    <x:row r="129">
      <x:c r="A129" s="32" t="str">
        <x:v>UWANT IL</x:v>
      </x:c>
      <x:c r="B129" s="33" t="n">
        <x:v>13</x:v>
      </x:c>
      <x:c r="C129" s="33" t="str">
        <x:v>V800</x:v>
      </x:c>
      <x:c r="D129" s="33" t="str">
        <x:v>UWANT V800 שואב אלחוטי עם עמדת ריקון וניקוי עצמי ₪2590</x:v>
      </x:c>
      <x:c r="E129" s="39" t="n">
        <x:v>2590</x:v>
      </x:c>
      <x:c r="F129" s="39"/>
      <x:c r="G129" s="39"/>
      <x:c r="H129" s="33" t="str">
        <x:v>במלאי</x:v>
      </x:c>
      <x:c r="I129" s="33" t="str">
        <x:v>מכשיר</x:v>
      </x:c>
      <x:c r="J129" s="33" t="e">
        <x:f>HYPERLINK("https://www.uwant.co.il/products/uwant-v800-vacuum","פתח דף מוצר")</x:f>
        <x:v>HYPERLINK is not implemented. linkLocation=https://www.uwant.co.il/products/uwant-v800-vacuum, friendlyName=פתח דף מוצר</x:v>
      </x:c>
      <x:c r="K129" s="33" t="str">
        <x:v>דף מוצר חי 09.08.2026</x:v>
      </x:c>
      <x:c r="L129" s="33" t="str"/>
      <x:c r="M129" s="34" t="str">
        <x:v>09.08.2026 09:01 (Asia/Jerusalem)</x:v>
      </x:c>
    </x:row>
    <x:row r="130">
      <x:c r="A130" s="32" t="str">
        <x:v>UWANT IL</x:v>
      </x:c>
      <x:c r="B130" s="33" t="n">
        <x:v>14</x:v>
      </x:c>
      <x:c r="C130" s="33" t="str">
        <x:v>Y100</x:v>
      </x:c>
      <x:c r="D130" s="33" t="str">
        <x:v>UWANT Y100 מנקה כתמים רב תכליתי ₪599</x:v>
      </x:c>
      <x:c r="E130" s="39" t="n">
        <x:v>599</x:v>
      </x:c>
      <x:c r="F130" s="39"/>
      <x:c r="G130" s="39"/>
      <x:c r="H130" s="33" t="str">
        <x:v>במלאי</x:v>
      </x:c>
      <x:c r="I130" s="33" t="str">
        <x:v>מכשיר</x:v>
      </x:c>
      <x:c r="J130" s="33" t="e">
        <x:f>HYPERLINK("https://www.uwant.co.il/products/uwant-y100-spot-cleaner","פתח דף מוצר")</x:f>
        <x:v>HYPERLINK is not implemented. linkLocation=https://www.uwant.co.il/products/uwant-y100-spot-cleaner, friendlyName=פתח דף מוצר</x:v>
      </x:c>
      <x:c r="K130" s="33" t="str">
        <x:v>דף מוצר חי 09.08.2026</x:v>
      </x:c>
      <x:c r="L130" s="33" t="str"/>
      <x:c r="M130" s="34" t="str">
        <x:v>09.08.2026 09:01 (Asia/Jerusalem)</x:v>
      </x:c>
    </x:row>
    <x:row r="131">
      <x:c r="A131" s="32" t="str">
        <x:v>UWANT IL</x:v>
      </x:c>
      <x:c r="B131" s="33" t="n">
        <x:v>15</x:v>
      </x:c>
      <x:c r="C131" s="33" t="str">
        <x:v>Y100 Steam</x:v>
      </x:c>
      <x:c r="D131" s="33" t="str">
        <x:v>UWANT Y100 Steam מנקה כתמים רב תכליתי עם קיטור ₪999</x:v>
      </x:c>
      <x:c r="E131" s="39" t="n">
        <x:v>999</x:v>
      </x:c>
      <x:c r="F131" s="39"/>
      <x:c r="G131" s="39"/>
      <x:c r="H131" s="33" t="str">
        <x:v>במלאי</x:v>
      </x:c>
      <x:c r="I131" s="33" t="str">
        <x:v>מכשיר</x:v>
      </x:c>
      <x:c r="J131" s="33" t="e">
        <x:f>HYPERLINK("https://www.uwant.co.il/products/uwant-y100-steam-spot-cleaner","פתח דף מוצר")</x:f>
        <x:v>HYPERLINK is not implemented. linkLocation=https://www.uwant.co.il/products/uwant-y100-steam-spot-cleaner, friendlyName=פתח דף מוצר</x:v>
      </x:c>
      <x:c r="K131" s="33" t="str">
        <x:v>דף מוצר חי 09.08.2026</x:v>
      </x:c>
      <x:c r="L131" s="33" t="str"/>
      <x:c r="M131" s="34" t="str">
        <x:v>09.08.2026 09:01 (Asia/Jerusalem)</x:v>
      </x:c>
    </x:row>
    <x:row r="132">
      <x:c r="A132" s="32" t="str">
        <x:v>UWANT IL</x:v>
      </x:c>
      <x:c r="B132" s="33" t="n">
        <x:v>16</x:v>
      </x:c>
      <x:c r="C132" s="33" t="str">
        <x:v>Y200</x:v>
      </x:c>
      <x:c r="D132" s="33" t="str">
        <x:v>UWANT Y200 מנקה כתמים רב-תכליתי ₪699</x:v>
      </x:c>
      <x:c r="E132" s="39" t="n">
        <x:v>699</x:v>
      </x:c>
      <x:c r="F132" s="39"/>
      <x:c r="G132" s="39"/>
      <x:c r="H132" s="33" t="str">
        <x:v>אזל</x:v>
      </x:c>
      <x:c r="I132" s="33" t="str">
        <x:v>מכשיר</x:v>
      </x:c>
      <x:c r="J132" s="33" t="e">
        <x:f>HYPERLINK("https://www.uwant.co.il/products/y200","פתח דף מוצר")</x:f>
        <x:v>HYPERLINK is not implemented. linkLocation=https://www.uwant.co.il/products/y200, friendlyName=פתח דף מוצר</x:v>
      </x:c>
      <x:c r="K132" s="33" t="str">
        <x:v>דף מוצר חי 09.08.2026</x:v>
      </x:c>
      <x:c r="L132" s="33" t="str"/>
      <x:c r="M132" s="34" t="str">
        <x:v>09.08.2026 09:01 (Asia/Jerusalem)</x:v>
      </x:c>
    </x:row>
    <x:row r="133">
      <x:c r="A133" s="35" t="str">
        <x:v>UWANT IL</x:v>
      </x:c>
      <x:c r="B133" s="36" t="n">
        <x:v>17</x:v>
      </x:c>
      <x:c r="C133" s="36" t="str">
        <x:v>Y200 Steam</x:v>
      </x:c>
      <x:c r="D133" s="36" t="str">
        <x:v>UWANT Y200 Steam מנקה כתמים רב תכליתי עם קיטור ₪999</x:v>
      </x:c>
      <x:c r="E133" s="40" t="n">
        <x:v>999</x:v>
      </x:c>
      <x:c r="F133" s="40"/>
      <x:c r="G133" s="40"/>
      <x:c r="H133" s="36" t="str">
        <x:v>אזל</x:v>
      </x:c>
      <x:c r="I133" s="36" t="str">
        <x:v>מכשיר</x:v>
      </x:c>
      <x:c r="J133" s="36" t="e">
        <x:f>HYPERLINK("https://www.uwant.co.il/products/uwant-y200-steam","פתח דף מוצר")</x:f>
        <x:v>HYPERLINK is not implemented. linkLocation=https://www.uwant.co.il/products/uwant-y200-steam, friendlyName=פתח דף מוצר</x:v>
      </x:c>
      <x:c r="K133" s="36" t="str">
        <x:v>דף מוצר חי 09.08.2026</x:v>
      </x:c>
      <x:c r="L133" s="36" t="str"/>
      <x:c r="M133" s="37" t="str">
        <x:v>09.08.2026 09:01 (Asia/Jerusalem)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</x:cols>
  <x:sheetData>
    <x:row r="1">
      <x:c r="A1" s="5" t="str">
        <x:v>סטטיסטיקות כיסוי ואיכות</x:v>
      </x:c>
      <x:c r="B1" s="5"/>
      <x:c r="C1" s="5"/>
      <x:c r="D1" s="5"/>
      <x:c r="E1" s="5"/>
    </x:row>
    <x:row r="3">
      <x:c r="A3" s="46" t="str">
        <x:v>אתר</x:v>
      </x:c>
      <x:c r="B3" s="47" t="str">
        <x:v>מכשירים/וריאנטים</x:v>
      </x:c>
      <x:c r="C3" s="47" t="str">
        <x:v>כל הרשומות</x:v>
      </x:c>
      <x:c r="D3" s="47" t="str">
        <x:v>תאים מתוך 17 עם מחיר</x:v>
      </x:c>
      <x:c r="E3" s="48" t="str">
        <x:v>הערה</x:v>
      </x:c>
    </x:row>
    <x:row r="4">
      <x:c r="A4" s="32" t="str">
        <x:v>KSP</x:v>
      </x:c>
      <x:c r="B4" s="33" t="n">
        <x:v>15</x:v>
      </x:c>
      <x:c r="C4" s="33" t="n">
        <x:v>16</x:v>
      </x:c>
      <x:c r="D4" s="33" t="n">
        <x:v>13</x:v>
      </x:c>
      <x:c r="E4" s="34" t="str">
        <x:v>בדיקה חיה בדפי מוצר</x:v>
      </x:c>
    </x:row>
    <x:row r="5">
      <x:c r="A5" s="32" t="str">
        <x:v>Walla Shops</x:v>
      </x:c>
      <x:c r="B5" s="33" t="n">
        <x:v>11</x:v>
      </x:c>
      <x:c r="C5" s="33" t="n">
        <x:v>11</x:v>
      </x:c>
      <x:c r="D5" s="33" t="n">
        <x:v>10</x:v>
      </x:c>
      <x:c r="E5" s="34" t="str">
        <x:v>בדיקה חיה בדפי מוצר</x:v>
      </x:c>
    </x:row>
    <x:row r="6">
      <x:c r="A6" s="32" t="str">
        <x:v>NetoNeto</x:v>
      </x:c>
      <x:c r="B6" s="33" t="n">
        <x:v>13</x:v>
      </x:c>
      <x:c r="C6" s="33" t="n">
        <x:v>14</x:v>
      </x:c>
      <x:c r="D6" s="33" t="n">
        <x:v>13</x:v>
      </x:c>
      <x:c r="E6" s="34" t="str">
        <x:v>בדיקה חיה בדפי מוצר</x:v>
      </x:c>
    </x:row>
    <x:row r="7">
      <x:c r="A7" s="32" t="str">
        <x:v>CWC</x:v>
      </x:c>
      <x:c r="B7" s="33" t="n">
        <x:v>16</x:v>
      </x:c>
      <x:c r="C7" s="33" t="n">
        <x:v>18</x:v>
      </x:c>
      <x:c r="D7" s="33" t="n">
        <x:v>15</x:v>
      </x:c>
      <x:c r="E7" s="34" t="str">
        <x:v>בדיקה חיה בדפי מוצר</x:v>
      </x:c>
    </x:row>
    <x:row r="8">
      <x:c r="A8" s="32" t="str">
        <x:v>LastPrice</x:v>
      </x:c>
      <x:c r="B8" s="33" t="n">
        <x:v>17</x:v>
      </x:c>
      <x:c r="C8" s="33" t="n">
        <x:v>18</x:v>
      </x:c>
      <x:c r="D8" s="33" t="n">
        <x:v>16</x:v>
      </x:c>
      <x:c r="E8" s="34" t="str">
        <x:v>בדיקה חיה בדפי מוצר</x:v>
      </x:c>
    </x:row>
    <x:row r="9">
      <x:c r="A9" s="32" t="str">
        <x:v>ALM</x:v>
      </x:c>
      <x:c r="B9" s="33" t="n">
        <x:v>9</x:v>
      </x:c>
      <x:c r="C9" s="33" t="n">
        <x:v>9</x:v>
      </x:c>
      <x:c r="D9" s="33" t="n">
        <x:v>7</x:v>
      </x:c>
      <x:c r="E9" s="34" t="str">
        <x:v>בדיקה חיה בדפי מוצר</x:v>
      </x:c>
    </x:row>
    <x:row r="10">
      <x:c r="A10" s="32" t="str">
        <x:v>Traklin</x:v>
      </x:c>
      <x:c r="B10" s="33" t="n">
        <x:v>4</x:v>
      </x:c>
      <x:c r="C10" s="33" t="n">
        <x:v>4</x:v>
      </x:c>
      <x:c r="D10" s="33" t="n">
        <x:v>4</x:v>
      </x:c>
      <x:c r="E10" s="34" t="str">
        <x:v>בדיקה חיה בדפי מוצר</x:v>
      </x:c>
    </x:row>
    <x:row r="11">
      <x:c r="A11" s="32" t="str">
        <x:v>City Deal</x:v>
      </x:c>
      <x:c r="B11" s="33" t="n">
        <x:v>16</x:v>
      </x:c>
      <x:c r="C11" s="33" t="n">
        <x:v>16</x:v>
      </x:c>
      <x:c r="D11" s="33" t="n">
        <x:v>16</x:v>
      </x:c>
      <x:c r="E11" s="34" t="str">
        <x:v>בדיקה חיה בדפי מוצר</x:v>
      </x:c>
    </x:row>
    <x:row r="12">
      <x:c r="A12" s="32" t="str">
        <x:v>Multi Store</x:v>
      </x:c>
      <x:c r="B12" s="33" t="n">
        <x:v>9</x:v>
      </x:c>
      <x:c r="C12" s="33" t="n">
        <x:v>9</x:v>
      </x:c>
      <x:c r="D12" s="33" t="n">
        <x:v>9</x:v>
      </x:c>
      <x:c r="E12" s="34" t="str">
        <x:v>בדיקה חיה בדפי מוצר</x:v>
      </x:c>
    </x:row>
    <x:row r="13">
      <x:c r="A13" s="35" t="str">
        <x:v>UWANT IL</x:v>
      </x:c>
      <x:c r="B13" s="36" t="n">
        <x:v>17</x:v>
      </x:c>
      <x:c r="C13" s="36" t="n">
        <x:v>17</x:v>
      </x:c>
      <x:c r="D13" s="36" t="n">
        <x:v>17</x:v>
      </x:c>
      <x:c r="E13" s="37" t="str">
        <x:v>בדיקה חיה בדפי מוצר</x:v>
      </x:c>
    </x:row>
    <x:row r="15">
      <x:c r="A15" s="29" t="str">
        <x:v>מועד הבדיקה</x:v>
      </x:c>
      <x:c r="B15" s="31" t="str">
        <x:v>09.08.2026 09:01 (Asia/Jerusalem)</x:v>
      </x:c>
    </x:row>
    <x:row r="16">
      <x:c r="A16" s="32" t="str">
        <x:v>סה״כ רשומות</x:v>
      </x:c>
      <x:c r="B16" s="34" t="n">
        <x:v>132</x:v>
      </x:c>
    </x:row>
    <x:row r="17">
      <x:c r="A17" s="32" t="str">
        <x:v>תאי השוואה שנמצאו</x:v>
      </x:c>
      <x:c r="B17" s="34" t="str">
        <x:v>120 מתוך 170</x:v>
      </x:c>
    </x:row>
    <x:row r="18">
      <x:c r="A18" s="32" t="str">
        <x:v>אחוז כיסוי</x:v>
      </x:c>
      <x:c r="B18" s="51" t="n">
        <x:v>0.7058823529411765</x:v>
      </x:c>
    </x:row>
    <x:row r="19">
      <x:c r="A19" s="35" t="str">
        <x:v>שיטה</x:v>
      </x:c>
      <x:c r="B19" s="37" t="str">
        <x:v>בדיקה חיה ואימות מחיר קנייה רגיל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58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</x:cols>
  <x:sheetData>
    <x:row r="1">
      <x:c r="A1" s="44" t="str">
        <x:v>אתר</x:v>
      </x:c>
      <x:c r="B1" s="44" t="str">
        <x:v>דגם/מוצר</x:v>
      </x:c>
      <x:c r="C1" s="44" t="str">
        <x:v>שם מדויק</x:v>
      </x:c>
      <x:c r="D1" s="44" t="str">
        <x:v>מחיר</x:v>
      </x:c>
      <x:c r="E1" s="44" t="str">
        <x:v>מלאי</x:v>
      </x:c>
      <x:c r="F1" s="44" t="str">
        <x:v>סוג</x:v>
      </x:c>
      <x:c r="G1" s="44" t="str">
        <x:v>קישור</x:v>
      </x:c>
    </x:row>
    <x:row r="2">
      <x:c r="A2" s="29" t="str">
        <x:v>KSP</x:v>
      </x:c>
      <x:c r="B2" s="30" t="str">
        <x:v>V100</x:v>
      </x:c>
      <x:c r="C2" s="30" t="str">
        <x:v>מק"ט KSP: 263213 מברשת להסרת קרדית אבק לשואב Uwant V100 ₪99 מחיר אילת : ₪83.9 מלאי בסניפים</x:v>
      </x:c>
      <x:c r="D2" s="38" t="n">
        <x:v>99</x:v>
      </x:c>
      <x:c r="E2" s="30" t="str">
        <x:v>במלאי</x:v>
      </x:c>
      <x:c r="F2" s="30" t="str">
        <x:v>אביזר</x:v>
      </x:c>
      <x:c r="G2" s="31" t="e">
        <x:f>HYPERLINK("https://ksp.co.il/web/item/270777","פתח דף מוצר")</x:f>
        <x:v>HYPERLINK is not implemented. linkLocation=https://ksp.co.il/web/item/270777, friendlyName=פתח דף מוצר</x:v>
      </x:c>
    </x:row>
    <x:row r="3">
      <x:c r="A3" s="32" t="str">
        <x:v>NetoNeto</x:v>
      </x:c>
      <x:c r="B3" s="33" t="str">
        <x:v>B200</x:v>
      </x:c>
      <x:c r="C3" s="33" t="str">
        <x:v>מגהץ קיטור אנכי למנקה ריפודים B200 מבית UWANT יו וונט B200 IRON ₪390</x:v>
      </x:c>
      <x:c r="D3" s="39" t="n">
        <x:v>390</x:v>
      </x:c>
      <x:c r="E3" s="33" t="str">
        <x:v>במלאי</x:v>
      </x:c>
      <x:c r="F3" s="33" t="str">
        <x:v>אביזר</x:v>
      </x:c>
      <x:c r="G3" s="34" t="e">
        <x:f>HYPERLINK("https://www.netoneto.co.il/product/%D7%9E%D7%92%D7%94%D7%A5-%D7%A7%D7%99%D7%98%D7%95%D7%A8-%D7%90%D7%A0%D7%9B%D7%99-%D7%9C%D7%9E%D7%A0%D7%A7%D7%94-%D7%A8%D7%99%D7%A4%D7%95%D7%93%D7%99%D7%9D-b200-%D7%9E%D7%91%D7%99%D7%AA-uwant-%D7%99%D7%95-%D7%95%D7%95%D7%A0%D7%98-b200-iron","פתח דף מוצר")</x:f>
        <x:v>HYPERLINK is not implemented. linkLocation=https://www.netoneto.co.il/product/%D7%9E%D7%92%D7%94%D7%A5-%D7%A7%D7%99%D7%98%D7%95%D7%A8-%D7%90%D7%A0%D7%9B%D7%99-%D7%9C%D7%9E%D7%A0%D7%A7%D7%94-%D7%A8%D7%99%D7%A4%D7%95%D7%93%D7%99%D7%9D-b200-%D7%9E%D7%91%D7%99%D7%AA-uwant-%D7%99%D7%95-%D7%95%D7%95%D7%A0%D7%98-b200-iron, friendlyName=פתח דף מוצר</x:v>
      </x:c>
    </x:row>
    <x:row r="4">
      <x:c r="A4" s="32" t="str">
        <x:v>CWC</x:v>
      </x:c>
      <x:c r="B4" s="33" t="str">
        <x:v>B200</x:v>
      </x:c>
      <x:c r="C4" s="33" t="str">
        <x:v>מגהץ קיטור אנכי למנקה ריפודים B200 אפור UWANT ₪49</x:v>
      </x:c>
      <x:c r="D4" s="39" t="n">
        <x:v>49</x:v>
      </x:c>
      <x:c r="E4" s="33" t="str">
        <x:v>במלאי</x:v>
      </x:c>
      <x:c r="F4" s="33" t="str">
        <x:v>אביזר</x:v>
      </x:c>
      <x:c r="G4" s="34" t="e">
        <x:f>HYPERLINK("https://www.cwc.co.il/product/%d7%9e%d7%92%d7%94%d7%a5-%d7%a7%d7%99%d7%98%d7%95%d7%a8-%d7%90%d7%a0%d7%9b%d7%99-%d7%9c%d7%9e%d7%a0%d7%a7%d7%94-%d7%a8%d7%99%d7%a4%d7%95%d7%93%d7%99%d7%9d-b200-%d7%90%d7%a4%d7%95%d7%a8-uwant/","פתח דף מוצר")</x:f>
        <x:v>HYPERLINK is not implemented. linkLocation=https://www.cwc.co.il/product/%d7%9e%d7%92%d7%94%d7%a5-%d7%a7%d7%99%d7%98%d7%95%d7%a8-%d7%90%d7%a0%d7%9b%d7%99-%d7%9c%d7%9e%d7%a0%d7%a7%d7%94-%d7%a8%d7%99%d7%a4%d7%95%d7%93%d7%99%d7%9d-b200-%d7%90%d7%a4%d7%95%d7%a8-uwant/, friendlyName=פתח דף מוצר</x:v>
      </x:c>
    </x:row>
    <x:row r="5">
      <x:c r="A5" s="32" t="str">
        <x:v>CWC</x:v>
      </x:c>
      <x:c r="B5" s="33" t="str">
        <x:v>V500</x:v>
      </x:c>
      <x:c r="C5" s="33" t="str">
        <x:v>אביזר בעלי חיים לשואב יו וואנט V600/V500 UWANT ₪299</x:v>
      </x:c>
      <x:c r="D5" s="39" t="n">
        <x:v>299</x:v>
      </x:c>
      <x:c r="E5" s="33" t="str">
        <x:v>במלאי</x:v>
      </x:c>
      <x:c r="F5" s="33" t="str">
        <x:v>אביזר</x:v>
      </x:c>
      <x:c r="G5" s="34" t="e">
        <x:f>HYPERLINK("https://www.cwc.co.il/product/%d7%90%d7%91%d7%99%d7%96%d7%a8-%d7%91%d7%a2%d7%9c%d7%99-%d7%97%d7%99%d7%99%d7%9d-%d7%9c%d7%a9%d7%95%d7%90%d7%91-%d7%99%d7%95-%d7%95%d7%95%d7%90%d7%a0%d7%98-v600-uwant/","פתח דף מוצר")</x:f>
        <x:v>HYPERLINK is not implemented. linkLocation=https://www.cwc.co.il/product/%d7%90%d7%91%d7%99%d7%96%d7%a8-%d7%91%d7%a2%d7%9c%d7%99-%d7%97%d7%99%d7%99%d7%9d-%d7%9c%d7%a9%d7%95%d7%90%d7%91-%d7%99%d7%95-%d7%95%d7%95%d7%90%d7%a0%d7%98-v600-uwant/, friendlyName=פתח דף מוצר</x:v>
      </x:c>
    </x:row>
    <x:row r="6">
      <x:c r="A6" s="35" t="str">
        <x:v>LastPrice</x:v>
      </x:c>
      <x:c r="B6" s="36" t="str">
        <x:v>B200</x:v>
      </x:c>
      <x:c r="C6" s="36" t="str">
        <x:v>מגהץ קיטור אנכי עבור מכונת ניקוי UWANT B200 B200 Ironing אפור מחיר ₪47</x:v>
      </x:c>
      <x:c r="D6" s="40" t="n">
        <x:v>47</x:v>
      </x:c>
      <x:c r="E6" s="36" t="str">
        <x:v>במלאי</x:v>
      </x:c>
      <x:c r="F6" s="36" t="str">
        <x:v>אביזר</x:v>
      </x:c>
      <x:c r="G6" s="37" t="e">
        <x:f>HYPERLINK("https://www.lastprice.co.il/p/100039734/%D7%9E%D7%92%D7%94%D7%A5%2D%D7%A7%D7%99%D7%98%D7%95%D7%A8%2D%D7%90%D7%A0%D7%9B%D7%99%2D%D7%A2%D7%91%D7%95%D7%A8%2D%D7%9E%D7%9B%D7%95%D7%A0%D7%AA%2D%D7%A0%D7%99%D7%A7%D7%95%D7%99%2DUWANT%2DB200/UWANT-B200%2DIroning%2D%D7%90%D7%A4%D7%95%D7%A8","פתח דף מוצר")</x:f>
        <x:v>HYPERLINK is not implemented. linkLocation=https://www.lastprice.co.il/p/100039734/%D7%9E%D7%92%D7%94%D7%A5%2D%D7%A7%D7%99%D7%98%D7%95%D7%A8%2D%D7%90%D7%A0%D7%9B%D7%99%2D%D7%A2%D7%91%D7%95%D7%A8%2D%D7%9E%D7%9B%D7%95%D7%A0%D7%AA%2D%D7%A0%D7%99%D7%A7%D7%95%D7%99%2DUWANT%2DB200/UWANT-B200%2DIroning%2D%D7%90%D7%A4%D7%95%D7%A8, friendlyName=פתח דף מוצר</x:v>
      </x:c>
    </x:row>
  </x:sheetData>
  <x:pageMargins left="0.7" right="0.7" top="0.75" bottom="0.75" header="0.3" footer="0.3"/>
</x:worksheet>
</file>